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530"/>
  </bookViews>
  <sheets>
    <sheet name="22 de Mayo Ins. Geofísica" sheetId="1" r:id="rId1"/>
    <sheet name="9 de Junio EANCIF" sheetId="2" r:id="rId2"/>
    <sheet name="25 de Junio Campo Experimental." sheetId="3" r:id="rId3"/>
  </sheets>
  <calcPr calcId="152511"/>
</workbook>
</file>

<file path=xl/calcChain.xml><?xml version="1.0" encoding="utf-8"?>
<calcChain xmlns="http://schemas.openxmlformats.org/spreadsheetml/2006/main">
  <c r="K5" i="3" l="1"/>
  <c r="K3" i="3"/>
  <c r="K1" i="3"/>
  <c r="K2" i="3" s="1"/>
  <c r="K4" i="3"/>
  <c r="K25" i="2"/>
  <c r="K24" i="2"/>
  <c r="K23" i="2"/>
  <c r="K21" i="2"/>
  <c r="K22" i="2" s="1"/>
  <c r="K5" i="2"/>
  <c r="K4" i="2"/>
  <c r="K3" i="2"/>
  <c r="K1" i="2"/>
  <c r="K2" i="2" s="1"/>
  <c r="K4" i="1"/>
  <c r="K3" i="1"/>
  <c r="K5" i="1"/>
  <c r="K2" i="1"/>
  <c r="K1" i="1"/>
</calcChain>
</file>

<file path=xl/sharedStrings.xml><?xml version="1.0" encoding="utf-8"?>
<sst xmlns="http://schemas.openxmlformats.org/spreadsheetml/2006/main" count="36" uniqueCount="13">
  <si>
    <t>#</t>
  </si>
  <si>
    <t>Rho Tesis</t>
  </si>
  <si>
    <t>Rho Syscal Pro</t>
  </si>
  <si>
    <t>Variación %</t>
  </si>
  <si>
    <t>Diferencia %</t>
  </si>
  <si>
    <t>Rho en ohmiosm Tesis</t>
  </si>
  <si>
    <t>Rho en ohmios Syscal Pro</t>
  </si>
  <si>
    <t>% variación</t>
  </si>
  <si>
    <t>r2</t>
  </si>
  <si>
    <t>RMSE</t>
  </si>
  <si>
    <t xml:space="preserve">Sesgo medio </t>
  </si>
  <si>
    <t>MAE</t>
  </si>
  <si>
    <t>r 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</si>
</sst>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.m"/>
    <numFmt numFmtId="165" formatCode="yyyy\.m"/>
    <numFmt numFmtId="166" formatCode="yyyy\.mm"/>
  </numFmts>
  <fonts count="7">
    <font>
      <sz val="10"/>
      <color rgb="FF000000"/>
      <name val="Arial"/>
      <scheme val="minor"/>
    </font>
    <font>
      <sz val="8"/>
      <color rgb="FF000000"/>
      <name val="&quot;Calibri&quot;"/>
    </font>
    <font>
      <sz val="8"/>
      <color rgb="FF000000"/>
      <name val="&quot;Arial&quot;"/>
    </font>
    <font>
      <sz val="8"/>
      <color theme="1"/>
      <name val="Arial"/>
      <scheme val="minor"/>
    </font>
    <font>
      <sz val="8"/>
      <color rgb="FF000000"/>
      <name val="Arial"/>
      <scheme val="minor"/>
    </font>
    <font>
      <sz val="10"/>
      <color rgb="FF000000"/>
      <name val="Calibri"/>
      <family val="2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2" fontId="3" fillId="0" borderId="0" xfId="0" applyNumberFormat="1" applyFont="1"/>
    <xf numFmtId="2" fontId="0" fillId="0" borderId="0" xfId="0" applyNumberFormat="1" applyFont="1" applyAlignment="1"/>
    <xf numFmtId="2" fontId="4" fillId="0" borderId="1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Font="1" applyBorder="1" applyAlignment="1"/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3" fillId="0" borderId="2" xfId="0" applyFont="1" applyBorder="1"/>
    <xf numFmtId="2" fontId="3" fillId="0" borderId="2" xfId="0" applyNumberFormat="1" applyFont="1" applyBorder="1"/>
    <xf numFmtId="0" fontId="6" fillId="0" borderId="2" xfId="0" applyFont="1" applyBorder="1"/>
    <xf numFmtId="2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tabSelected="1" workbookViewId="0">
      <selection activeCell="H13" sqref="H13"/>
    </sheetView>
  </sheetViews>
  <sheetFormatPr baseColWidth="10" defaultColWidth="12.5703125" defaultRowHeight="15.75" customHeight="1"/>
  <cols>
    <col min="1" max="1" width="5.85546875" customWidth="1"/>
    <col min="2" max="2" width="16.7109375" style="13" customWidth="1"/>
    <col min="3" max="3" width="16.5703125" style="13" customWidth="1"/>
    <col min="4" max="4" width="9.42578125" customWidth="1"/>
  </cols>
  <sheetData>
    <row r="1" spans="1:22">
      <c r="A1" s="2" t="s">
        <v>0</v>
      </c>
      <c r="B1" s="11" t="s">
        <v>5</v>
      </c>
      <c r="C1" s="11" t="s">
        <v>6</v>
      </c>
      <c r="D1" s="4" t="s">
        <v>7</v>
      </c>
      <c r="E1" s="3"/>
      <c r="F1" s="3"/>
      <c r="G1" s="3"/>
      <c r="H1" s="3"/>
      <c r="I1" s="3"/>
      <c r="J1" s="22" t="s">
        <v>12</v>
      </c>
      <c r="K1" s="22">
        <f>CORREL(B2:B18, C2:C18)</f>
        <v>0.98502567216927428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>
        <v>1</v>
      </c>
      <c r="B2" s="14">
        <v>231.22</v>
      </c>
      <c r="C2" s="14">
        <v>241.35</v>
      </c>
      <c r="D2" s="7">
        <v>46057</v>
      </c>
      <c r="E2" s="3"/>
      <c r="F2" s="3"/>
      <c r="G2" s="3"/>
      <c r="H2" s="3"/>
      <c r="I2" s="3"/>
      <c r="J2" s="22" t="s">
        <v>8</v>
      </c>
      <c r="K2" s="22">
        <f>K1^2</f>
        <v>0.97027557483253057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>
        <v>2</v>
      </c>
      <c r="B3" s="14">
        <v>241.31</v>
      </c>
      <c r="C3" s="14">
        <v>242.27</v>
      </c>
      <c r="D3" s="6">
        <v>0.4</v>
      </c>
      <c r="E3" s="3"/>
      <c r="F3" s="3"/>
      <c r="G3" s="3"/>
      <c r="H3" s="3"/>
      <c r="I3" s="3"/>
      <c r="J3" s="22" t="s">
        <v>9</v>
      </c>
      <c r="K3" s="22">
        <f>SQRT(SUMPRODUCT((B2:B18-C2:C18)^2)/17)</f>
        <v>45.589784136877185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>
        <v>3</v>
      </c>
      <c r="B4" s="14">
        <v>173.29</v>
      </c>
      <c r="C4" s="14">
        <v>241.76</v>
      </c>
      <c r="D4" s="6">
        <v>28.32</v>
      </c>
      <c r="E4" s="3"/>
      <c r="F4" s="3"/>
      <c r="G4" s="3"/>
      <c r="H4" s="3"/>
      <c r="I4" s="3"/>
      <c r="J4" s="22" t="s">
        <v>10</v>
      </c>
      <c r="K4" s="23">
        <f>AVERAGE(B2:B18)-AVERAGE(C2:C18)</f>
        <v>-0.7041176470589221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>
        <v>4</v>
      </c>
      <c r="B5" s="14">
        <v>283.58999999999997</v>
      </c>
      <c r="C5" s="14">
        <v>262.14</v>
      </c>
      <c r="D5" s="6">
        <v>8.18</v>
      </c>
      <c r="E5" s="3"/>
      <c r="F5" s="3"/>
      <c r="G5" s="3"/>
      <c r="H5" s="3"/>
      <c r="I5" s="3"/>
      <c r="J5" s="22" t="s">
        <v>11</v>
      </c>
      <c r="K5" s="22">
        <f>SUMPRODUCT(ABS(B2:B18-C2:C18))/17</f>
        <v>37.712352941176462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>
        <v>5</v>
      </c>
      <c r="B6" s="14">
        <v>264.62</v>
      </c>
      <c r="C6" s="14">
        <v>249.01</v>
      </c>
      <c r="D6" s="6">
        <v>6.27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>
        <v>6</v>
      </c>
      <c r="B7" s="14">
        <v>110.21</v>
      </c>
      <c r="C7" s="14">
        <v>180.02</v>
      </c>
      <c r="D7" s="6">
        <v>38.78</v>
      </c>
      <c r="E7" s="3"/>
      <c r="F7" s="3"/>
      <c r="G7" s="1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>
        <v>7</v>
      </c>
      <c r="B8" s="14">
        <v>195.22</v>
      </c>
      <c r="C8" s="14">
        <v>188.35</v>
      </c>
      <c r="D8" s="6">
        <v>3.65</v>
      </c>
      <c r="E8" s="3"/>
      <c r="F8" s="3"/>
      <c r="G8" s="1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>
        <v>8</v>
      </c>
      <c r="B9" s="14">
        <v>88.59</v>
      </c>
      <c r="C9" s="14">
        <v>137.81</v>
      </c>
      <c r="D9" s="6">
        <v>35.71</v>
      </c>
      <c r="E9" s="3"/>
      <c r="F9" s="3"/>
      <c r="G9" s="1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>
        <v>9</v>
      </c>
      <c r="B10" s="14">
        <v>130.75</v>
      </c>
      <c r="C10" s="14">
        <v>119.53</v>
      </c>
      <c r="D10" s="6">
        <v>9.39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>
        <v>10</v>
      </c>
      <c r="B11" s="14">
        <v>116.62</v>
      </c>
      <c r="C11" s="14">
        <v>157.04</v>
      </c>
      <c r="D11" s="6">
        <v>25.74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>
        <v>11</v>
      </c>
      <c r="B12" s="14">
        <v>447.43</v>
      </c>
      <c r="C12" s="14">
        <v>419.73</v>
      </c>
      <c r="D12" s="7">
        <v>46179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>
        <v>12</v>
      </c>
      <c r="B13" s="14">
        <v>428.32</v>
      </c>
      <c r="C13" s="14">
        <v>404.78</v>
      </c>
      <c r="D13" s="6">
        <v>5.82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>
        <v>13</v>
      </c>
      <c r="B14" s="14">
        <v>219.22</v>
      </c>
      <c r="C14" s="14">
        <v>306.75</v>
      </c>
      <c r="D14" s="6">
        <v>28.53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>
        <v>14</v>
      </c>
      <c r="B15" s="14">
        <v>277.14999999999998</v>
      </c>
      <c r="C15" s="14">
        <v>241.06</v>
      </c>
      <c r="D15" s="6">
        <v>14.97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2">
        <v>15</v>
      </c>
      <c r="B16" s="14">
        <v>671.04</v>
      </c>
      <c r="C16" s="14">
        <v>615.66999999999996</v>
      </c>
      <c r="D16" s="6">
        <v>8.99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2">
        <v>16</v>
      </c>
      <c r="B17" s="14">
        <v>475.57</v>
      </c>
      <c r="C17" s="14">
        <v>434.12</v>
      </c>
      <c r="D17" s="6">
        <v>9.5500000000000007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2">
        <v>17</v>
      </c>
      <c r="B18" s="14">
        <v>856.4</v>
      </c>
      <c r="C18" s="14">
        <v>781.13</v>
      </c>
      <c r="D18" s="6">
        <v>9.64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8"/>
      <c r="B19" s="12"/>
      <c r="C19" s="1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8"/>
      <c r="B20" s="12"/>
      <c r="C20" s="1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8"/>
      <c r="B21" s="12"/>
      <c r="C21" s="1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8"/>
      <c r="B22" s="12"/>
      <c r="C22" s="1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8"/>
      <c r="B23" s="12"/>
      <c r="C23" s="1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8"/>
      <c r="B24" s="12"/>
      <c r="C24" s="1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8"/>
      <c r="B25" s="12"/>
      <c r="C25" s="1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8"/>
      <c r="B26" s="12"/>
      <c r="C26" s="1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8"/>
      <c r="B27" s="12"/>
      <c r="C27" s="1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8"/>
      <c r="B28" s="12"/>
      <c r="C28" s="1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8"/>
      <c r="B29" s="12"/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8"/>
      <c r="B30" s="12"/>
      <c r="C30" s="1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8"/>
      <c r="B31" s="12"/>
      <c r="C31" s="1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8"/>
      <c r="B32" s="12"/>
      <c r="C32" s="1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8"/>
      <c r="B33" s="12"/>
      <c r="C33" s="1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8"/>
      <c r="B34" s="12"/>
      <c r="C34" s="1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8"/>
      <c r="B35" s="12"/>
      <c r="C35" s="1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8"/>
      <c r="B36" s="12"/>
      <c r="C36" s="1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8"/>
      <c r="B37" s="12"/>
      <c r="C37" s="1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8"/>
      <c r="B38" s="12"/>
      <c r="C38" s="1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8"/>
      <c r="B39" s="12"/>
      <c r="C39" s="1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8"/>
      <c r="B40" s="12"/>
      <c r="C40" s="1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8"/>
      <c r="B41" s="12"/>
      <c r="C41" s="1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8"/>
      <c r="B42" s="12"/>
      <c r="C42" s="1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8"/>
      <c r="B43" s="12"/>
      <c r="C43" s="1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8"/>
      <c r="B44" s="12"/>
      <c r="C44" s="1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8"/>
      <c r="B45" s="12"/>
      <c r="C45" s="1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8"/>
      <c r="B46" s="12"/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8"/>
      <c r="B47" s="12"/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8"/>
      <c r="B48" s="12"/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8"/>
      <c r="B49" s="12"/>
      <c r="C49" s="1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8"/>
      <c r="B50" s="12"/>
      <c r="C50" s="1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8"/>
      <c r="B51" s="12"/>
      <c r="C51" s="1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8"/>
      <c r="B52" s="12"/>
      <c r="C52" s="1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8"/>
      <c r="B53" s="12"/>
      <c r="C53" s="1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8"/>
      <c r="B54" s="12"/>
      <c r="C54" s="1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8"/>
      <c r="B55" s="12"/>
      <c r="C55" s="1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8"/>
      <c r="B56" s="12"/>
      <c r="C56" s="1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8"/>
      <c r="B57" s="12"/>
      <c r="C57" s="1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8"/>
      <c r="B58" s="12"/>
      <c r="C58" s="1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8"/>
      <c r="B59" s="12"/>
      <c r="C59" s="1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8"/>
      <c r="B60" s="12"/>
      <c r="C60" s="1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8"/>
      <c r="B61" s="12"/>
      <c r="C61" s="1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8"/>
      <c r="B62" s="12"/>
      <c r="C62" s="1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8"/>
      <c r="B63" s="12"/>
      <c r="C63" s="1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8"/>
      <c r="B64" s="12"/>
      <c r="C64" s="1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8"/>
      <c r="B65" s="12"/>
      <c r="C65" s="1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8"/>
      <c r="B66" s="12"/>
      <c r="C66" s="1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8"/>
      <c r="B67" s="12"/>
      <c r="C67" s="1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8"/>
      <c r="B68" s="12"/>
      <c r="C68" s="1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8"/>
      <c r="B69" s="12"/>
      <c r="C69" s="1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8"/>
      <c r="B70" s="12"/>
      <c r="C70" s="1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8"/>
      <c r="B71" s="12"/>
      <c r="C71" s="1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8"/>
      <c r="B72" s="12"/>
      <c r="C72" s="1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8"/>
      <c r="B73" s="12"/>
      <c r="C73" s="1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8"/>
      <c r="B74" s="12"/>
      <c r="C74" s="1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8"/>
      <c r="B75" s="12"/>
      <c r="C75" s="1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8"/>
      <c r="B76" s="12"/>
      <c r="C76" s="1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8"/>
      <c r="B77" s="12"/>
      <c r="C77" s="1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8"/>
      <c r="B78" s="12"/>
      <c r="C78" s="1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8"/>
      <c r="B79" s="12"/>
      <c r="C79" s="1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12"/>
      <c r="C80" s="1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12"/>
      <c r="C81" s="1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12"/>
      <c r="C82" s="1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12"/>
      <c r="C83" s="1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12"/>
      <c r="C84" s="1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12"/>
      <c r="C85" s="1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12"/>
      <c r="C86" s="1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12"/>
      <c r="C87" s="1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12"/>
      <c r="C88" s="1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12"/>
      <c r="C89" s="1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12"/>
      <c r="C90" s="1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12"/>
      <c r="C91" s="1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12"/>
      <c r="C92" s="1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12"/>
      <c r="C93" s="1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12"/>
      <c r="C94" s="1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12"/>
      <c r="C95" s="1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12"/>
      <c r="C96" s="1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12"/>
      <c r="C97" s="1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12"/>
      <c r="C98" s="1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12"/>
      <c r="C99" s="1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12"/>
      <c r="C100" s="1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12"/>
      <c r="C101" s="1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12"/>
      <c r="C102" s="1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12"/>
      <c r="C103" s="1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12"/>
      <c r="C104" s="1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12"/>
      <c r="C105" s="1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12"/>
      <c r="C106" s="1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12"/>
      <c r="C107" s="1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12"/>
      <c r="C108" s="1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12"/>
      <c r="C109" s="1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12"/>
      <c r="C110" s="1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12"/>
      <c r="C111" s="1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12"/>
      <c r="C112" s="1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12"/>
      <c r="C113" s="1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12"/>
      <c r="C114" s="1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12"/>
      <c r="C115" s="1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12"/>
      <c r="C116" s="1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12"/>
      <c r="C117" s="1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12"/>
      <c r="C118" s="1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12"/>
      <c r="C119" s="1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12"/>
      <c r="C120" s="1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12"/>
      <c r="C121" s="1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12"/>
      <c r="C122" s="1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12"/>
      <c r="C123" s="1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12"/>
      <c r="C124" s="1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12"/>
      <c r="C125" s="1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12"/>
      <c r="C126" s="1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12"/>
      <c r="C127" s="1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12"/>
      <c r="C128" s="1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12"/>
      <c r="C129" s="1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12"/>
      <c r="C130" s="1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12"/>
      <c r="C131" s="1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12"/>
      <c r="C132" s="1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12"/>
      <c r="C133" s="1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12"/>
      <c r="C134" s="1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12"/>
      <c r="C135" s="1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12"/>
      <c r="C136" s="1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12"/>
      <c r="C137" s="1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12"/>
      <c r="C138" s="1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12"/>
      <c r="C139" s="1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12"/>
      <c r="C140" s="1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12"/>
      <c r="C141" s="1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12"/>
      <c r="C142" s="1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12"/>
      <c r="C143" s="1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12"/>
      <c r="C144" s="1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12"/>
      <c r="C145" s="1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12"/>
      <c r="C146" s="1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12"/>
      <c r="C147" s="1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12"/>
      <c r="C148" s="1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12"/>
      <c r="C149" s="1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12"/>
      <c r="C150" s="1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12"/>
      <c r="C151" s="1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12"/>
      <c r="C152" s="1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12"/>
      <c r="C153" s="1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12"/>
      <c r="C154" s="1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12"/>
      <c r="C155" s="1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12"/>
      <c r="C156" s="1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12"/>
      <c r="C157" s="1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12"/>
      <c r="C158" s="1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12"/>
      <c r="C159" s="1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12"/>
      <c r="C160" s="1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12"/>
      <c r="C161" s="1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12"/>
      <c r="C162" s="1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12"/>
      <c r="C163" s="1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12"/>
      <c r="C164" s="1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12"/>
      <c r="C165" s="1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12"/>
      <c r="C166" s="1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12"/>
      <c r="C167" s="1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12"/>
      <c r="C168" s="1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12"/>
      <c r="C169" s="1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12"/>
      <c r="C170" s="1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12"/>
      <c r="C171" s="1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12"/>
      <c r="C172" s="1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12"/>
      <c r="C173" s="1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12"/>
      <c r="C174" s="1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12"/>
      <c r="C175" s="1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12"/>
      <c r="C176" s="1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12"/>
      <c r="C177" s="1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12"/>
      <c r="C178" s="1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12"/>
      <c r="C179" s="1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12"/>
      <c r="C180" s="1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12"/>
      <c r="C181" s="1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12"/>
      <c r="C182" s="1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12"/>
      <c r="C183" s="1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12"/>
      <c r="C184" s="1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12"/>
      <c r="C185" s="1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12"/>
      <c r="C186" s="1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12"/>
      <c r="C187" s="1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12"/>
      <c r="C188" s="1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12"/>
      <c r="C189" s="1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12"/>
      <c r="C190" s="1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12"/>
      <c r="C191" s="1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12"/>
      <c r="C192" s="1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12"/>
      <c r="C193" s="1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12"/>
      <c r="C194" s="1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12"/>
      <c r="C195" s="1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12"/>
      <c r="C196" s="1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12"/>
      <c r="C197" s="1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12"/>
      <c r="C198" s="1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12"/>
      <c r="C199" s="1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12"/>
      <c r="C200" s="1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>
      <c r="A201" s="3"/>
      <c r="B201" s="12"/>
      <c r="C201" s="1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>
      <c r="A202" s="3"/>
      <c r="B202" s="12"/>
      <c r="C202" s="1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>
      <c r="A203" s="3"/>
      <c r="B203" s="12"/>
      <c r="C203" s="1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>
      <c r="A204" s="3"/>
      <c r="B204" s="12"/>
      <c r="C204" s="1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>
      <c r="A205" s="3"/>
      <c r="B205" s="12"/>
      <c r="C205" s="1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>
      <c r="A206" s="3"/>
      <c r="B206" s="12"/>
      <c r="C206" s="1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>
      <c r="A207" s="3"/>
      <c r="B207" s="12"/>
      <c r="C207" s="1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>
      <c r="A208" s="3"/>
      <c r="B208" s="12"/>
      <c r="C208" s="1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s="3"/>
      <c r="B209" s="12"/>
      <c r="C209" s="1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>
      <c r="A210" s="3"/>
      <c r="B210" s="12"/>
      <c r="C210" s="1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>
      <c r="A211" s="3"/>
      <c r="B211" s="12"/>
      <c r="C211" s="1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>
      <c r="A212" s="3"/>
      <c r="B212" s="12"/>
      <c r="C212" s="1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>
      <c r="A213" s="3"/>
      <c r="B213" s="12"/>
      <c r="C213" s="1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>
      <c r="A214" s="3"/>
      <c r="B214" s="12"/>
      <c r="C214" s="1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>
      <c r="A215" s="3"/>
      <c r="B215" s="12"/>
      <c r="C215" s="1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>
      <c r="A216" s="3"/>
      <c r="B216" s="12"/>
      <c r="C216" s="1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>
      <c r="A217" s="3"/>
      <c r="B217" s="12"/>
      <c r="C217" s="1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>
      <c r="A218" s="3"/>
      <c r="B218" s="12"/>
      <c r="C218" s="1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>
      <c r="A219" s="3"/>
      <c r="B219" s="12"/>
      <c r="C219" s="1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>
      <c r="A220" s="3"/>
      <c r="B220" s="12"/>
      <c r="C220" s="1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>
      <c r="A221" s="3"/>
      <c r="B221" s="12"/>
      <c r="C221" s="1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>
      <c r="A222" s="3"/>
      <c r="B222" s="12"/>
      <c r="C222" s="1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>
      <c r="A223" s="3"/>
      <c r="B223" s="12"/>
      <c r="C223" s="1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>
      <c r="A224" s="3"/>
      <c r="B224" s="12"/>
      <c r="C224" s="1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>
      <c r="A225" s="3"/>
      <c r="B225" s="12"/>
      <c r="C225" s="1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s="3"/>
      <c r="B226" s="12"/>
      <c r="C226" s="1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>
      <c r="A227" s="3"/>
      <c r="B227" s="12"/>
      <c r="C227" s="1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>
      <c r="A228" s="3"/>
      <c r="B228" s="12"/>
      <c r="C228" s="1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>
      <c r="A229" s="3"/>
      <c r="B229" s="12"/>
      <c r="C229" s="1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>
      <c r="A230" s="3"/>
      <c r="B230" s="12"/>
      <c r="C230" s="1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>
      <c r="A231" s="3"/>
      <c r="B231" s="12"/>
      <c r="C231" s="1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>
      <c r="A232" s="3"/>
      <c r="B232" s="12"/>
      <c r="C232" s="1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>
      <c r="A233" s="3"/>
      <c r="B233" s="12"/>
      <c r="C233" s="1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>
      <c r="A234" s="3"/>
      <c r="B234" s="12"/>
      <c r="C234" s="1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>
      <c r="A235" s="3"/>
      <c r="B235" s="12"/>
      <c r="C235" s="1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>
      <c r="A236" s="3"/>
      <c r="B236" s="12"/>
      <c r="C236" s="1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>
      <c r="A237" s="3"/>
      <c r="B237" s="12"/>
      <c r="C237" s="1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>
      <c r="A238" s="3"/>
      <c r="B238" s="12"/>
      <c r="C238" s="1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>
      <c r="A239" s="3"/>
      <c r="B239" s="12"/>
      <c r="C239" s="1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>
      <c r="A240" s="3"/>
      <c r="B240" s="12"/>
      <c r="C240" s="1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>
      <c r="A241" s="3"/>
      <c r="B241" s="12"/>
      <c r="C241" s="1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>
      <c r="A242" s="3"/>
      <c r="B242" s="12"/>
      <c r="C242" s="1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A243" s="3"/>
      <c r="B243" s="12"/>
      <c r="C243" s="1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>
      <c r="A244" s="3"/>
      <c r="B244" s="12"/>
      <c r="C244" s="1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>
      <c r="A245" s="3"/>
      <c r="B245" s="12"/>
      <c r="C245" s="1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>
      <c r="A246" s="3"/>
      <c r="B246" s="12"/>
      <c r="C246" s="1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>
      <c r="A247" s="3"/>
      <c r="B247" s="12"/>
      <c r="C247" s="1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>
      <c r="A248" s="3"/>
      <c r="B248" s="12"/>
      <c r="C248" s="1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>
      <c r="A249" s="3"/>
      <c r="B249" s="12"/>
      <c r="C249" s="1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>
      <c r="A250" s="3"/>
      <c r="B250" s="12"/>
      <c r="C250" s="1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>
      <c r="A251" s="3"/>
      <c r="B251" s="12"/>
      <c r="C251" s="1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>
      <c r="A252" s="3"/>
      <c r="B252" s="12"/>
      <c r="C252" s="1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>
      <c r="A253" s="3"/>
      <c r="B253" s="12"/>
      <c r="C253" s="1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>
      <c r="A254" s="3"/>
      <c r="B254" s="12"/>
      <c r="C254" s="1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>
      <c r="A255" s="3"/>
      <c r="B255" s="12"/>
      <c r="C255" s="1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>
      <c r="A256" s="3"/>
      <c r="B256" s="12"/>
      <c r="C256" s="1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>
      <c r="A257" s="3"/>
      <c r="B257" s="12"/>
      <c r="C257" s="1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>
      <c r="A258" s="3"/>
      <c r="B258" s="12"/>
      <c r="C258" s="1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>
      <c r="A259" s="3"/>
      <c r="B259" s="12"/>
      <c r="C259" s="1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>
      <c r="A260" s="3"/>
      <c r="B260" s="12"/>
      <c r="C260" s="1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>
      <c r="A261" s="3"/>
      <c r="B261" s="12"/>
      <c r="C261" s="1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s="3"/>
      <c r="B262" s="12"/>
      <c r="C262" s="1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>
      <c r="A263" s="3"/>
      <c r="B263" s="12"/>
      <c r="C263" s="1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>
      <c r="A264" s="3"/>
      <c r="B264" s="12"/>
      <c r="C264" s="1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>
      <c r="A265" s="3"/>
      <c r="B265" s="12"/>
      <c r="C265" s="1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>
      <c r="A266" s="3"/>
      <c r="B266" s="12"/>
      <c r="C266" s="1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>
      <c r="A267" s="3"/>
      <c r="B267" s="12"/>
      <c r="C267" s="1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>
      <c r="A268" s="3"/>
      <c r="B268" s="12"/>
      <c r="C268" s="1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>
      <c r="A269" s="3"/>
      <c r="B269" s="12"/>
      <c r="C269" s="1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>
      <c r="A270" s="3"/>
      <c r="B270" s="12"/>
      <c r="C270" s="1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>
      <c r="A271" s="3"/>
      <c r="B271" s="12"/>
      <c r="C271" s="1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>
      <c r="A272" s="3"/>
      <c r="B272" s="12"/>
      <c r="C272" s="1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>
      <c r="A273" s="3"/>
      <c r="B273" s="12"/>
      <c r="C273" s="1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>
      <c r="A274" s="3"/>
      <c r="B274" s="12"/>
      <c r="C274" s="1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>
      <c r="A275" s="3"/>
      <c r="B275" s="12"/>
      <c r="C275" s="1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>
      <c r="A276" s="3"/>
      <c r="B276" s="12"/>
      <c r="C276" s="1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>
      <c r="A277" s="3"/>
      <c r="B277" s="12"/>
      <c r="C277" s="1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>
      <c r="A278" s="3"/>
      <c r="B278" s="12"/>
      <c r="C278" s="1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s="3"/>
      <c r="B279" s="12"/>
      <c r="C279" s="1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>
      <c r="A280" s="3"/>
      <c r="B280" s="12"/>
      <c r="C280" s="1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>
      <c r="A281" s="3"/>
      <c r="B281" s="12"/>
      <c r="C281" s="1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>
      <c r="A282" s="3"/>
      <c r="B282" s="12"/>
      <c r="C282" s="1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>
      <c r="A283" s="3"/>
      <c r="B283" s="12"/>
      <c r="C283" s="1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>
      <c r="A284" s="3"/>
      <c r="B284" s="12"/>
      <c r="C284" s="1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>
      <c r="A285" s="3"/>
      <c r="B285" s="12"/>
      <c r="C285" s="1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>
      <c r="A286" s="3"/>
      <c r="B286" s="12"/>
      <c r="C286" s="1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>
      <c r="A287" s="3"/>
      <c r="B287" s="12"/>
      <c r="C287" s="1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>
      <c r="A288" s="3"/>
      <c r="B288" s="12"/>
      <c r="C288" s="1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>
      <c r="A289" s="3"/>
      <c r="B289" s="12"/>
      <c r="C289" s="1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>
      <c r="A290" s="3"/>
      <c r="B290" s="12"/>
      <c r="C290" s="1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>
      <c r="A291" s="3"/>
      <c r="B291" s="12"/>
      <c r="C291" s="1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>
      <c r="A292" s="3"/>
      <c r="B292" s="12"/>
      <c r="C292" s="1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>
      <c r="A293" s="3"/>
      <c r="B293" s="12"/>
      <c r="C293" s="1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>
      <c r="A294" s="3"/>
      <c r="B294" s="12"/>
      <c r="C294" s="1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>
      <c r="A295" s="3"/>
      <c r="B295" s="12"/>
      <c r="C295" s="1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A296" s="3"/>
      <c r="B296" s="12"/>
      <c r="C296" s="1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>
      <c r="A297" s="3"/>
      <c r="B297" s="12"/>
      <c r="C297" s="1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>
      <c r="A298" s="3"/>
      <c r="B298" s="12"/>
      <c r="C298" s="1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>
      <c r="A299" s="3"/>
      <c r="B299" s="12"/>
      <c r="C299" s="1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>
      <c r="A300" s="3"/>
      <c r="B300" s="12"/>
      <c r="C300" s="1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>
      <c r="A301" s="3"/>
      <c r="B301" s="12"/>
      <c r="C301" s="1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>
      <c r="A302" s="3"/>
      <c r="B302" s="12"/>
      <c r="C302" s="1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>
      <c r="A303" s="3"/>
      <c r="B303" s="12"/>
      <c r="C303" s="1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>
      <c r="A304" s="3"/>
      <c r="B304" s="12"/>
      <c r="C304" s="1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>
      <c r="A305" s="3"/>
      <c r="B305" s="12"/>
      <c r="C305" s="1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>
      <c r="A306" s="3"/>
      <c r="B306" s="12"/>
      <c r="C306" s="1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>
      <c r="A307" s="3"/>
      <c r="B307" s="12"/>
      <c r="C307" s="1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>
      <c r="A308" s="3"/>
      <c r="B308" s="12"/>
      <c r="C308" s="1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>
      <c r="A309" s="3"/>
      <c r="B309" s="12"/>
      <c r="C309" s="1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>
      <c r="A310" s="3"/>
      <c r="B310" s="12"/>
      <c r="C310" s="1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>
      <c r="A311" s="3"/>
      <c r="B311" s="12"/>
      <c r="C311" s="1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>
      <c r="A312" s="3"/>
      <c r="B312" s="12"/>
      <c r="C312" s="1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>
      <c r="A313" s="3"/>
      <c r="B313" s="12"/>
      <c r="C313" s="1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>
      <c r="A314" s="3"/>
      <c r="B314" s="12"/>
      <c r="C314" s="1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s="3"/>
      <c r="B315" s="12"/>
      <c r="C315" s="1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>
      <c r="A316" s="3"/>
      <c r="B316" s="12"/>
      <c r="C316" s="1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>
      <c r="A317" s="3"/>
      <c r="B317" s="12"/>
      <c r="C317" s="1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>
      <c r="A318" s="3"/>
      <c r="B318" s="12"/>
      <c r="C318" s="1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>
      <c r="A319" s="3"/>
      <c r="B319" s="12"/>
      <c r="C319" s="1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>
      <c r="A320" s="3"/>
      <c r="B320" s="12"/>
      <c r="C320" s="1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>
      <c r="A321" s="3"/>
      <c r="B321" s="12"/>
      <c r="C321" s="1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>
      <c r="A322" s="3"/>
      <c r="B322" s="12"/>
      <c r="C322" s="1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>
      <c r="A323" s="3"/>
      <c r="B323" s="12"/>
      <c r="C323" s="1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>
      <c r="A324" s="3"/>
      <c r="B324" s="12"/>
      <c r="C324" s="1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>
      <c r="A325" s="3"/>
      <c r="B325" s="12"/>
      <c r="C325" s="1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>
      <c r="A326" s="3"/>
      <c r="B326" s="12"/>
      <c r="C326" s="1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>
      <c r="A327" s="3"/>
      <c r="B327" s="12"/>
      <c r="C327" s="1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>
      <c r="A328" s="3"/>
      <c r="B328" s="12"/>
      <c r="C328" s="1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>
      <c r="A329" s="3"/>
      <c r="B329" s="12"/>
      <c r="C329" s="1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>
      <c r="A330" s="3"/>
      <c r="B330" s="12"/>
      <c r="C330" s="1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>
      <c r="A331" s="3"/>
      <c r="B331" s="12"/>
      <c r="C331" s="1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s="3"/>
      <c r="B332" s="12"/>
      <c r="C332" s="1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>
      <c r="A333" s="3"/>
      <c r="B333" s="12"/>
      <c r="C333" s="1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>
      <c r="A334" s="3"/>
      <c r="B334" s="12"/>
      <c r="C334" s="1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>
      <c r="A335" s="3"/>
      <c r="B335" s="12"/>
      <c r="C335" s="1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>
      <c r="A336" s="3"/>
      <c r="B336" s="12"/>
      <c r="C336" s="1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>
      <c r="A337" s="3"/>
      <c r="B337" s="12"/>
      <c r="C337" s="1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>
      <c r="A338" s="3"/>
      <c r="B338" s="12"/>
      <c r="C338" s="1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>
      <c r="A339" s="3"/>
      <c r="B339" s="12"/>
      <c r="C339" s="1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>
      <c r="A340" s="3"/>
      <c r="B340" s="12"/>
      <c r="C340" s="1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>
      <c r="A341" s="3"/>
      <c r="B341" s="12"/>
      <c r="C341" s="1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>
      <c r="A342" s="3"/>
      <c r="B342" s="12"/>
      <c r="C342" s="1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>
      <c r="A343" s="3"/>
      <c r="B343" s="12"/>
      <c r="C343" s="1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>
      <c r="A344" s="3"/>
      <c r="B344" s="12"/>
      <c r="C344" s="1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>
      <c r="A345" s="3"/>
      <c r="B345" s="12"/>
      <c r="C345" s="1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>
      <c r="A346" s="3"/>
      <c r="B346" s="12"/>
      <c r="C346" s="1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>
      <c r="A347" s="3"/>
      <c r="B347" s="12"/>
      <c r="C347" s="1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>
      <c r="A348" s="3"/>
      <c r="B348" s="12"/>
      <c r="C348" s="1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>
      <c r="A349" s="3"/>
      <c r="B349" s="12"/>
      <c r="C349" s="1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>
      <c r="A350" s="3"/>
      <c r="B350" s="12"/>
      <c r="C350" s="1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>
      <c r="A351" s="3"/>
      <c r="B351" s="12"/>
      <c r="C351" s="1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>
      <c r="A352" s="3"/>
      <c r="B352" s="12"/>
      <c r="C352" s="1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>
      <c r="A353" s="3"/>
      <c r="B353" s="12"/>
      <c r="C353" s="1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>
      <c r="A354" s="3"/>
      <c r="B354" s="12"/>
      <c r="C354" s="1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>
      <c r="A355" s="3"/>
      <c r="B355" s="12"/>
      <c r="C355" s="1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>
      <c r="A356" s="3"/>
      <c r="B356" s="12"/>
      <c r="C356" s="1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>
      <c r="A357" s="3"/>
      <c r="B357" s="12"/>
      <c r="C357" s="1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>
      <c r="A358" s="3"/>
      <c r="B358" s="12"/>
      <c r="C358" s="1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>
      <c r="A359" s="3"/>
      <c r="B359" s="12"/>
      <c r="C359" s="1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>
      <c r="A360" s="3"/>
      <c r="B360" s="12"/>
      <c r="C360" s="1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>
      <c r="A361" s="3"/>
      <c r="B361" s="12"/>
      <c r="C361" s="1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>
      <c r="A362" s="3"/>
      <c r="B362" s="12"/>
      <c r="C362" s="1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>
      <c r="A363" s="3"/>
      <c r="B363" s="12"/>
      <c r="C363" s="1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>
      <c r="A364" s="3"/>
      <c r="B364" s="12"/>
      <c r="C364" s="1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>
      <c r="A365" s="3"/>
      <c r="B365" s="12"/>
      <c r="C365" s="1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>
      <c r="A366" s="3"/>
      <c r="B366" s="12"/>
      <c r="C366" s="1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>
      <c r="A367" s="3"/>
      <c r="B367" s="12"/>
      <c r="C367" s="1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>
      <c r="A368" s="3"/>
      <c r="B368" s="12"/>
      <c r="C368" s="1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>
      <c r="A369" s="3"/>
      <c r="B369" s="12"/>
      <c r="C369" s="1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>
      <c r="A370" s="3"/>
      <c r="B370" s="12"/>
      <c r="C370" s="1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>
      <c r="A371" s="3"/>
      <c r="B371" s="12"/>
      <c r="C371" s="1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>
      <c r="A372" s="3"/>
      <c r="B372" s="12"/>
      <c r="C372" s="1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>
      <c r="A373" s="3"/>
      <c r="B373" s="12"/>
      <c r="C373" s="1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>
      <c r="A374" s="3"/>
      <c r="B374" s="12"/>
      <c r="C374" s="1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>
      <c r="A375" s="3"/>
      <c r="B375" s="12"/>
      <c r="C375" s="1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>
      <c r="A376" s="3"/>
      <c r="B376" s="12"/>
      <c r="C376" s="1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3"/>
      <c r="B377" s="12"/>
      <c r="C377" s="1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>
      <c r="A378" s="3"/>
      <c r="B378" s="12"/>
      <c r="C378" s="1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>
      <c r="A379" s="3"/>
      <c r="B379" s="12"/>
      <c r="C379" s="1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>
      <c r="A380" s="3"/>
      <c r="B380" s="12"/>
      <c r="C380" s="1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>
      <c r="A381" s="3"/>
      <c r="B381" s="12"/>
      <c r="C381" s="1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>
      <c r="A382" s="3"/>
      <c r="B382" s="12"/>
      <c r="C382" s="1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>
      <c r="A383" s="3"/>
      <c r="B383" s="12"/>
      <c r="C383" s="1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>
      <c r="A384" s="3"/>
      <c r="B384" s="12"/>
      <c r="C384" s="1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>
      <c r="A385" s="3"/>
      <c r="B385" s="12"/>
      <c r="C385" s="1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>
      <c r="A386" s="3"/>
      <c r="B386" s="12"/>
      <c r="C386" s="1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>
      <c r="A387" s="3"/>
      <c r="B387" s="12"/>
      <c r="C387" s="1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>
      <c r="A388" s="3"/>
      <c r="B388" s="12"/>
      <c r="C388" s="1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>
      <c r="A389" s="3"/>
      <c r="B389" s="12"/>
      <c r="C389" s="1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>
      <c r="A390" s="3"/>
      <c r="B390" s="12"/>
      <c r="C390" s="1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>
      <c r="A391" s="3"/>
      <c r="B391" s="12"/>
      <c r="C391" s="1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>
      <c r="A392" s="3"/>
      <c r="B392" s="12"/>
      <c r="C392" s="1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>
      <c r="A393" s="3"/>
      <c r="B393" s="12"/>
      <c r="C393" s="1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>
      <c r="A394" s="3"/>
      <c r="B394" s="12"/>
      <c r="C394" s="1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>
      <c r="A395" s="3"/>
      <c r="B395" s="12"/>
      <c r="C395" s="1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>
      <c r="A396" s="3"/>
      <c r="B396" s="12"/>
      <c r="C396" s="1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>
      <c r="A397" s="3"/>
      <c r="B397" s="12"/>
      <c r="C397" s="1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>
      <c r="A398" s="3"/>
      <c r="B398" s="12"/>
      <c r="C398" s="1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>
      <c r="A399" s="3"/>
      <c r="B399" s="12"/>
      <c r="C399" s="1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>
      <c r="A400" s="3"/>
      <c r="B400" s="12"/>
      <c r="C400" s="1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>
      <c r="A401" s="3"/>
      <c r="B401" s="12"/>
      <c r="C401" s="1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>
      <c r="A402" s="3"/>
      <c r="B402" s="12"/>
      <c r="C402" s="1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>
      <c r="A403" s="3"/>
      <c r="B403" s="12"/>
      <c r="C403" s="1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>
      <c r="A404" s="3"/>
      <c r="B404" s="12"/>
      <c r="C404" s="1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>
      <c r="A405" s="3"/>
      <c r="B405" s="12"/>
      <c r="C405" s="1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>
      <c r="A406" s="3"/>
      <c r="B406" s="12"/>
      <c r="C406" s="1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>
      <c r="A407" s="3"/>
      <c r="B407" s="12"/>
      <c r="C407" s="1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>
      <c r="A408" s="3"/>
      <c r="B408" s="12"/>
      <c r="C408" s="1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>
      <c r="A409" s="3"/>
      <c r="B409" s="12"/>
      <c r="C409" s="1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>
      <c r="A410" s="3"/>
      <c r="B410" s="12"/>
      <c r="C410" s="1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>
      <c r="A411" s="3"/>
      <c r="B411" s="12"/>
      <c r="C411" s="1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>
      <c r="A412" s="3"/>
      <c r="B412" s="12"/>
      <c r="C412" s="1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>
      <c r="A413" s="3"/>
      <c r="B413" s="12"/>
      <c r="C413" s="1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>
      <c r="A414" s="3"/>
      <c r="B414" s="12"/>
      <c r="C414" s="1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>
      <c r="A415" s="3"/>
      <c r="B415" s="12"/>
      <c r="C415" s="1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>
      <c r="A416" s="3"/>
      <c r="B416" s="12"/>
      <c r="C416" s="1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>
      <c r="A417" s="3"/>
      <c r="B417" s="12"/>
      <c r="C417" s="1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>
      <c r="A418" s="3"/>
      <c r="B418" s="12"/>
      <c r="C418" s="1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>
      <c r="A419" s="3"/>
      <c r="B419" s="12"/>
      <c r="C419" s="1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>
      <c r="A420" s="3"/>
      <c r="B420" s="12"/>
      <c r="C420" s="1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>
      <c r="A421" s="3"/>
      <c r="B421" s="12"/>
      <c r="C421" s="1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>
      <c r="A422" s="3"/>
      <c r="B422" s="12"/>
      <c r="C422" s="1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>
      <c r="A423" s="3"/>
      <c r="B423" s="12"/>
      <c r="C423" s="1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>
      <c r="A424" s="3"/>
      <c r="B424" s="12"/>
      <c r="C424" s="1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>
      <c r="A425" s="3"/>
      <c r="B425" s="12"/>
      <c r="C425" s="1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>
      <c r="A426" s="3"/>
      <c r="B426" s="12"/>
      <c r="C426" s="1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>
      <c r="A427" s="3"/>
      <c r="B427" s="12"/>
      <c r="C427" s="1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>
      <c r="A428" s="3"/>
      <c r="B428" s="12"/>
      <c r="C428" s="1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>
      <c r="A429" s="3"/>
      <c r="B429" s="12"/>
      <c r="C429" s="1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>
      <c r="A430" s="3"/>
      <c r="B430" s="12"/>
      <c r="C430" s="1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>
      <c r="A431" s="3"/>
      <c r="B431" s="12"/>
      <c r="C431" s="1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>
      <c r="A432" s="3"/>
      <c r="B432" s="12"/>
      <c r="C432" s="1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>
      <c r="A433" s="3"/>
      <c r="B433" s="12"/>
      <c r="C433" s="1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>
      <c r="A434" s="3"/>
      <c r="B434" s="12"/>
      <c r="C434" s="1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>
      <c r="A435" s="3"/>
      <c r="B435" s="12"/>
      <c r="C435" s="1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>
      <c r="A436" s="3"/>
      <c r="B436" s="12"/>
      <c r="C436" s="1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>
      <c r="A437" s="3"/>
      <c r="B437" s="12"/>
      <c r="C437" s="1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>
      <c r="A438" s="3"/>
      <c r="B438" s="12"/>
      <c r="C438" s="1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>
      <c r="A439" s="3"/>
      <c r="B439" s="12"/>
      <c r="C439" s="1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>
      <c r="A440" s="3"/>
      <c r="B440" s="12"/>
      <c r="C440" s="1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>
      <c r="A441" s="3"/>
      <c r="B441" s="12"/>
      <c r="C441" s="1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>
      <c r="A442" s="3"/>
      <c r="B442" s="12"/>
      <c r="C442" s="1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3"/>
      <c r="B443" s="12"/>
      <c r="C443" s="1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>
      <c r="A444" s="3"/>
      <c r="B444" s="12"/>
      <c r="C444" s="1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3"/>
      <c r="B445" s="12"/>
      <c r="C445" s="1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>
      <c r="A446" s="3"/>
      <c r="B446" s="12"/>
      <c r="C446" s="1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>
      <c r="A447" s="3"/>
      <c r="B447" s="12"/>
      <c r="C447" s="1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>
      <c r="A448" s="3"/>
      <c r="B448" s="12"/>
      <c r="C448" s="1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>
      <c r="A449" s="3"/>
      <c r="B449" s="12"/>
      <c r="C449" s="1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>
      <c r="A450" s="3"/>
      <c r="B450" s="12"/>
      <c r="C450" s="1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>
      <c r="A451" s="3"/>
      <c r="B451" s="12"/>
      <c r="C451" s="1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>
      <c r="A452" s="3"/>
      <c r="B452" s="12"/>
      <c r="C452" s="1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>
      <c r="A453" s="3"/>
      <c r="B453" s="12"/>
      <c r="C453" s="1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>
      <c r="A454" s="3"/>
      <c r="B454" s="12"/>
      <c r="C454" s="1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>
      <c r="A455" s="3"/>
      <c r="B455" s="12"/>
      <c r="C455" s="1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>
      <c r="A456" s="3"/>
      <c r="B456" s="12"/>
      <c r="C456" s="1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>
      <c r="A457" s="3"/>
      <c r="B457" s="12"/>
      <c r="C457" s="1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>
      <c r="A458" s="3"/>
      <c r="B458" s="12"/>
      <c r="C458" s="1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>
      <c r="A459" s="3"/>
      <c r="B459" s="12"/>
      <c r="C459" s="1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>
      <c r="A460" s="3"/>
      <c r="B460" s="12"/>
      <c r="C460" s="1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>
      <c r="A461" s="3"/>
      <c r="B461" s="12"/>
      <c r="C461" s="1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>
      <c r="A462" s="3"/>
      <c r="B462" s="12"/>
      <c r="C462" s="1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>
      <c r="A463" s="3"/>
      <c r="B463" s="12"/>
      <c r="C463" s="1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>
      <c r="A464" s="3"/>
      <c r="B464" s="12"/>
      <c r="C464" s="1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>
      <c r="A465" s="3"/>
      <c r="B465" s="12"/>
      <c r="C465" s="1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>
      <c r="A466" s="3"/>
      <c r="B466" s="12"/>
      <c r="C466" s="1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>
      <c r="A467" s="3"/>
      <c r="B467" s="12"/>
      <c r="C467" s="1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>
      <c r="A468" s="3"/>
      <c r="B468" s="12"/>
      <c r="C468" s="1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>
      <c r="A469" s="3"/>
      <c r="B469" s="12"/>
      <c r="C469" s="1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>
      <c r="A470" s="3"/>
      <c r="B470" s="12"/>
      <c r="C470" s="1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>
      <c r="A471" s="3"/>
      <c r="B471" s="12"/>
      <c r="C471" s="1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>
      <c r="A472" s="3"/>
      <c r="B472" s="12"/>
      <c r="C472" s="1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>
      <c r="A473" s="3"/>
      <c r="B473" s="12"/>
      <c r="C473" s="1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>
      <c r="A474" s="3"/>
      <c r="B474" s="12"/>
      <c r="C474" s="1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>
      <c r="A475" s="3"/>
      <c r="B475" s="12"/>
      <c r="C475" s="1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>
      <c r="A476" s="3"/>
      <c r="B476" s="12"/>
      <c r="C476" s="1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>
      <c r="A477" s="3"/>
      <c r="B477" s="12"/>
      <c r="C477" s="1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>
      <c r="A478" s="3"/>
      <c r="B478" s="12"/>
      <c r="C478" s="1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>
      <c r="A479" s="3"/>
      <c r="B479" s="12"/>
      <c r="C479" s="1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>
      <c r="A480" s="3"/>
      <c r="B480" s="12"/>
      <c r="C480" s="1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>
      <c r="A481" s="3"/>
      <c r="B481" s="12"/>
      <c r="C481" s="1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>
      <c r="A482" s="3"/>
      <c r="B482" s="12"/>
      <c r="C482" s="1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>
      <c r="A483" s="3"/>
      <c r="B483" s="12"/>
      <c r="C483" s="1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>
      <c r="A484" s="3"/>
      <c r="B484" s="12"/>
      <c r="C484" s="1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>
      <c r="A485" s="3"/>
      <c r="B485" s="12"/>
      <c r="C485" s="1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>
      <c r="A486" s="3"/>
      <c r="B486" s="12"/>
      <c r="C486" s="1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>
      <c r="A487" s="3"/>
      <c r="B487" s="12"/>
      <c r="C487" s="1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>
      <c r="A488" s="3"/>
      <c r="B488" s="12"/>
      <c r="C488" s="1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>
      <c r="A489" s="3"/>
      <c r="B489" s="12"/>
      <c r="C489" s="1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>
      <c r="A490" s="3"/>
      <c r="B490" s="12"/>
      <c r="C490" s="1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>
      <c r="A491" s="3"/>
      <c r="B491" s="12"/>
      <c r="C491" s="1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>
      <c r="A492" s="3"/>
      <c r="B492" s="12"/>
      <c r="C492" s="1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>
      <c r="A493" s="3"/>
      <c r="B493" s="12"/>
      <c r="C493" s="1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>
      <c r="A494" s="3"/>
      <c r="B494" s="12"/>
      <c r="C494" s="1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>
      <c r="A495" s="3"/>
      <c r="B495" s="12"/>
      <c r="C495" s="1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>
      <c r="A496" s="3"/>
      <c r="B496" s="12"/>
      <c r="C496" s="1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>
      <c r="A497" s="3"/>
      <c r="B497" s="12"/>
      <c r="C497" s="1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>
      <c r="A498" s="3"/>
      <c r="B498" s="12"/>
      <c r="C498" s="1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>
      <c r="A499" s="3"/>
      <c r="B499" s="12"/>
      <c r="C499" s="1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>
      <c r="A500" s="3"/>
      <c r="B500" s="12"/>
      <c r="C500" s="1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>
      <c r="A501" s="3"/>
      <c r="B501" s="12"/>
      <c r="C501" s="1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>
      <c r="A502" s="3"/>
      <c r="B502" s="12"/>
      <c r="C502" s="1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>
      <c r="A503" s="3"/>
      <c r="B503" s="12"/>
      <c r="C503" s="1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>
      <c r="A504" s="3"/>
      <c r="B504" s="12"/>
      <c r="C504" s="1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>
      <c r="A505" s="3"/>
      <c r="B505" s="12"/>
      <c r="C505" s="1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>
      <c r="A506" s="3"/>
      <c r="B506" s="12"/>
      <c r="C506" s="1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>
      <c r="A507" s="3"/>
      <c r="B507" s="12"/>
      <c r="C507" s="1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>
      <c r="A508" s="3"/>
      <c r="B508" s="12"/>
      <c r="C508" s="1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>
      <c r="A509" s="3"/>
      <c r="B509" s="12"/>
      <c r="C509" s="1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>
      <c r="A510" s="3"/>
      <c r="B510" s="12"/>
      <c r="C510" s="1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>
      <c r="A511" s="3"/>
      <c r="B511" s="12"/>
      <c r="C511" s="1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>
      <c r="A512" s="3"/>
      <c r="B512" s="12"/>
      <c r="C512" s="1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>
      <c r="A513" s="3"/>
      <c r="B513" s="12"/>
      <c r="C513" s="1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>
      <c r="A514" s="3"/>
      <c r="B514" s="12"/>
      <c r="C514" s="1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>
      <c r="A515" s="3"/>
      <c r="B515" s="12"/>
      <c r="C515" s="1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>
      <c r="A516" s="3"/>
      <c r="B516" s="12"/>
      <c r="C516" s="1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>
      <c r="A517" s="3"/>
      <c r="B517" s="12"/>
      <c r="C517" s="1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>
      <c r="A518" s="3"/>
      <c r="B518" s="12"/>
      <c r="C518" s="1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>
      <c r="A519" s="3"/>
      <c r="B519" s="12"/>
      <c r="C519" s="1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>
      <c r="A520" s="3"/>
      <c r="B520" s="12"/>
      <c r="C520" s="1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>
      <c r="A521" s="3"/>
      <c r="B521" s="12"/>
      <c r="C521" s="1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>
      <c r="A522" s="3"/>
      <c r="B522" s="12"/>
      <c r="C522" s="1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>
      <c r="A523" s="3"/>
      <c r="B523" s="12"/>
      <c r="C523" s="1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>
      <c r="A524" s="3"/>
      <c r="B524" s="12"/>
      <c r="C524" s="1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>
      <c r="A525" s="3"/>
      <c r="B525" s="12"/>
      <c r="C525" s="1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>
      <c r="A526" s="3"/>
      <c r="B526" s="12"/>
      <c r="C526" s="1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>
      <c r="A527" s="3"/>
      <c r="B527" s="12"/>
      <c r="C527" s="1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>
      <c r="A528" s="3"/>
      <c r="B528" s="12"/>
      <c r="C528" s="1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>
      <c r="A529" s="3"/>
      <c r="B529" s="12"/>
      <c r="C529" s="1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>
      <c r="A530" s="3"/>
      <c r="B530" s="12"/>
      <c r="C530" s="1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>
      <c r="A531" s="3"/>
      <c r="B531" s="12"/>
      <c r="C531" s="1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>
      <c r="A532" s="3"/>
      <c r="B532" s="12"/>
      <c r="C532" s="1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>
      <c r="A533" s="3"/>
      <c r="B533" s="12"/>
      <c r="C533" s="1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>
      <c r="A534" s="3"/>
      <c r="B534" s="12"/>
      <c r="C534" s="1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>
      <c r="A535" s="3"/>
      <c r="B535" s="12"/>
      <c r="C535" s="1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>
      <c r="A536" s="3"/>
      <c r="B536" s="12"/>
      <c r="C536" s="1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>
      <c r="A537" s="3"/>
      <c r="B537" s="12"/>
      <c r="C537" s="1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>
      <c r="A538" s="3"/>
      <c r="B538" s="12"/>
      <c r="C538" s="1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>
      <c r="A539" s="3"/>
      <c r="B539" s="12"/>
      <c r="C539" s="1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>
      <c r="A540" s="3"/>
      <c r="B540" s="12"/>
      <c r="C540" s="1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>
      <c r="A541" s="3"/>
      <c r="B541" s="12"/>
      <c r="C541" s="1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>
      <c r="A542" s="3"/>
      <c r="B542" s="12"/>
      <c r="C542" s="1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>
      <c r="A543" s="3"/>
      <c r="B543" s="12"/>
      <c r="C543" s="1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>
      <c r="A544" s="3"/>
      <c r="B544" s="12"/>
      <c r="C544" s="1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>
      <c r="A545" s="3"/>
      <c r="B545" s="12"/>
      <c r="C545" s="1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>
      <c r="A546" s="3"/>
      <c r="B546" s="12"/>
      <c r="C546" s="1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>
      <c r="A547" s="3"/>
      <c r="B547" s="12"/>
      <c r="C547" s="1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>
      <c r="A548" s="3"/>
      <c r="B548" s="12"/>
      <c r="C548" s="1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>
      <c r="A549" s="3"/>
      <c r="B549" s="12"/>
      <c r="C549" s="1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>
      <c r="A550" s="3"/>
      <c r="B550" s="12"/>
      <c r="C550" s="1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>
      <c r="A551" s="3"/>
      <c r="B551" s="12"/>
      <c r="C551" s="1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>
      <c r="A552" s="3"/>
      <c r="B552" s="12"/>
      <c r="C552" s="1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>
      <c r="A553" s="3"/>
      <c r="B553" s="12"/>
      <c r="C553" s="1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>
      <c r="A554" s="3"/>
      <c r="B554" s="12"/>
      <c r="C554" s="1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>
      <c r="A555" s="3"/>
      <c r="B555" s="12"/>
      <c r="C555" s="1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>
      <c r="A556" s="3"/>
      <c r="B556" s="12"/>
      <c r="C556" s="1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>
      <c r="A557" s="3"/>
      <c r="B557" s="12"/>
      <c r="C557" s="1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>
      <c r="A558" s="3"/>
      <c r="B558" s="12"/>
      <c r="C558" s="1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>
      <c r="A559" s="3"/>
      <c r="B559" s="12"/>
      <c r="C559" s="1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>
      <c r="A560" s="3"/>
      <c r="B560" s="12"/>
      <c r="C560" s="1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>
      <c r="A561" s="3"/>
      <c r="B561" s="12"/>
      <c r="C561" s="1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>
      <c r="A562" s="3"/>
      <c r="B562" s="12"/>
      <c r="C562" s="1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>
      <c r="A563" s="3"/>
      <c r="B563" s="12"/>
      <c r="C563" s="1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>
      <c r="A564" s="3"/>
      <c r="B564" s="12"/>
      <c r="C564" s="1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>
      <c r="A565" s="3"/>
      <c r="B565" s="12"/>
      <c r="C565" s="1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>
      <c r="A566" s="3"/>
      <c r="B566" s="12"/>
      <c r="C566" s="1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>
      <c r="A567" s="3"/>
      <c r="B567" s="12"/>
      <c r="C567" s="1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>
      <c r="A568" s="3"/>
      <c r="B568" s="12"/>
      <c r="C568" s="1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>
      <c r="A569" s="3"/>
      <c r="B569" s="12"/>
      <c r="C569" s="1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>
      <c r="A570" s="3"/>
      <c r="B570" s="12"/>
      <c r="C570" s="1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>
      <c r="A571" s="3"/>
      <c r="B571" s="12"/>
      <c r="C571" s="1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>
      <c r="A572" s="3"/>
      <c r="B572" s="12"/>
      <c r="C572" s="1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>
      <c r="A573" s="3"/>
      <c r="B573" s="12"/>
      <c r="C573" s="1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>
      <c r="A574" s="3"/>
      <c r="B574" s="12"/>
      <c r="C574" s="1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>
      <c r="A575" s="3"/>
      <c r="B575" s="12"/>
      <c r="C575" s="1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>
      <c r="A576" s="3"/>
      <c r="B576" s="12"/>
      <c r="C576" s="1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>
      <c r="A577" s="3"/>
      <c r="B577" s="12"/>
      <c r="C577" s="1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>
      <c r="A578" s="3"/>
      <c r="B578" s="12"/>
      <c r="C578" s="1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>
      <c r="A579" s="3"/>
      <c r="B579" s="12"/>
      <c r="C579" s="1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>
      <c r="A580" s="3"/>
      <c r="B580" s="12"/>
      <c r="C580" s="1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>
      <c r="A581" s="3"/>
      <c r="B581" s="12"/>
      <c r="C581" s="1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>
      <c r="A582" s="3"/>
      <c r="B582" s="12"/>
      <c r="C582" s="1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>
      <c r="A583" s="3"/>
      <c r="B583" s="12"/>
      <c r="C583" s="1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>
      <c r="A584" s="3"/>
      <c r="B584" s="12"/>
      <c r="C584" s="1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>
      <c r="A585" s="3"/>
      <c r="B585" s="12"/>
      <c r="C585" s="1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>
      <c r="A586" s="3"/>
      <c r="B586" s="12"/>
      <c r="C586" s="1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>
      <c r="A587" s="3"/>
      <c r="B587" s="12"/>
      <c r="C587" s="1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>
      <c r="A588" s="3"/>
      <c r="B588" s="12"/>
      <c r="C588" s="1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>
      <c r="A589" s="3"/>
      <c r="B589" s="12"/>
      <c r="C589" s="1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>
      <c r="A590" s="3"/>
      <c r="B590" s="12"/>
      <c r="C590" s="1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>
      <c r="A591" s="3"/>
      <c r="B591" s="12"/>
      <c r="C591" s="1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>
      <c r="A592" s="3"/>
      <c r="B592" s="12"/>
      <c r="C592" s="1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>
      <c r="A593" s="3"/>
      <c r="B593" s="12"/>
      <c r="C593" s="1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>
      <c r="A594" s="3"/>
      <c r="B594" s="12"/>
      <c r="C594" s="1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>
      <c r="A595" s="3"/>
      <c r="B595" s="12"/>
      <c r="C595" s="1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>
      <c r="A596" s="3"/>
      <c r="B596" s="12"/>
      <c r="C596" s="1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>
      <c r="A597" s="3"/>
      <c r="B597" s="12"/>
      <c r="C597" s="1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>
      <c r="A598" s="3"/>
      <c r="B598" s="12"/>
      <c r="C598" s="1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>
      <c r="A599" s="3"/>
      <c r="B599" s="12"/>
      <c r="C599" s="1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>
      <c r="A600" s="3"/>
      <c r="B600" s="12"/>
      <c r="C600" s="1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>
      <c r="A601" s="3"/>
      <c r="B601" s="12"/>
      <c r="C601" s="1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>
      <c r="A602" s="3"/>
      <c r="B602" s="12"/>
      <c r="C602" s="1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>
      <c r="A603" s="3"/>
      <c r="B603" s="12"/>
      <c r="C603" s="1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>
      <c r="A604" s="3"/>
      <c r="B604" s="12"/>
      <c r="C604" s="1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>
      <c r="A605" s="3"/>
      <c r="B605" s="12"/>
      <c r="C605" s="1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>
      <c r="A606" s="3"/>
      <c r="B606" s="12"/>
      <c r="C606" s="1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>
      <c r="A607" s="3"/>
      <c r="B607" s="12"/>
      <c r="C607" s="1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>
      <c r="A608" s="3"/>
      <c r="B608" s="12"/>
      <c r="C608" s="1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>
      <c r="A609" s="3"/>
      <c r="B609" s="12"/>
      <c r="C609" s="1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>
      <c r="A610" s="3"/>
      <c r="B610" s="12"/>
      <c r="C610" s="1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>
      <c r="A611" s="3"/>
      <c r="B611" s="12"/>
      <c r="C611" s="1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>
      <c r="A612" s="3"/>
      <c r="B612" s="12"/>
      <c r="C612" s="1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>
      <c r="A613" s="3"/>
      <c r="B613" s="12"/>
      <c r="C613" s="1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>
      <c r="A614" s="3"/>
      <c r="B614" s="12"/>
      <c r="C614" s="1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>
      <c r="A615" s="3"/>
      <c r="B615" s="12"/>
      <c r="C615" s="1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>
      <c r="A616" s="3"/>
      <c r="B616" s="12"/>
      <c r="C616" s="1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>
      <c r="A617" s="3"/>
      <c r="B617" s="12"/>
      <c r="C617" s="1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>
      <c r="A618" s="3"/>
      <c r="B618" s="12"/>
      <c r="C618" s="1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>
      <c r="A619" s="3"/>
      <c r="B619" s="12"/>
      <c r="C619" s="1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>
      <c r="A620" s="3"/>
      <c r="B620" s="12"/>
      <c r="C620" s="1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>
      <c r="A621" s="3"/>
      <c r="B621" s="12"/>
      <c r="C621" s="1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>
      <c r="A622" s="3"/>
      <c r="B622" s="12"/>
      <c r="C622" s="1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>
      <c r="A623" s="3"/>
      <c r="B623" s="12"/>
      <c r="C623" s="1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>
      <c r="A624" s="3"/>
      <c r="B624" s="12"/>
      <c r="C624" s="1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>
      <c r="A625" s="3"/>
      <c r="B625" s="12"/>
      <c r="C625" s="1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>
      <c r="A626" s="3"/>
      <c r="B626" s="12"/>
      <c r="C626" s="1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>
      <c r="A627" s="3"/>
      <c r="B627" s="12"/>
      <c r="C627" s="1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>
      <c r="A628" s="3"/>
      <c r="B628" s="12"/>
      <c r="C628" s="1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>
      <c r="A629" s="3"/>
      <c r="B629" s="12"/>
      <c r="C629" s="1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>
      <c r="A630" s="3"/>
      <c r="B630" s="12"/>
      <c r="C630" s="1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>
      <c r="A631" s="3"/>
      <c r="B631" s="12"/>
      <c r="C631" s="1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>
      <c r="A632" s="3"/>
      <c r="B632" s="12"/>
      <c r="C632" s="1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>
      <c r="A633" s="3"/>
      <c r="B633" s="12"/>
      <c r="C633" s="1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>
      <c r="A634" s="3"/>
      <c r="B634" s="12"/>
      <c r="C634" s="1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>
      <c r="A635" s="3"/>
      <c r="B635" s="12"/>
      <c r="C635" s="1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>
      <c r="A636" s="3"/>
      <c r="B636" s="12"/>
      <c r="C636" s="1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>
      <c r="A637" s="3"/>
      <c r="B637" s="12"/>
      <c r="C637" s="1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>
      <c r="A638" s="3"/>
      <c r="B638" s="12"/>
      <c r="C638" s="1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>
      <c r="A639" s="3"/>
      <c r="B639" s="12"/>
      <c r="C639" s="1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>
      <c r="A640" s="3"/>
      <c r="B640" s="12"/>
      <c r="C640" s="1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>
      <c r="A641" s="3"/>
      <c r="B641" s="12"/>
      <c r="C641" s="1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>
      <c r="A642" s="3"/>
      <c r="B642" s="12"/>
      <c r="C642" s="1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>
      <c r="A643" s="3"/>
      <c r="B643" s="12"/>
      <c r="C643" s="1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>
      <c r="A644" s="3"/>
      <c r="B644" s="12"/>
      <c r="C644" s="1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>
      <c r="A645" s="3"/>
      <c r="B645" s="12"/>
      <c r="C645" s="1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>
      <c r="A646" s="3"/>
      <c r="B646" s="12"/>
      <c r="C646" s="1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>
      <c r="A647" s="3"/>
      <c r="B647" s="12"/>
      <c r="C647" s="1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>
      <c r="A648" s="3"/>
      <c r="B648" s="12"/>
      <c r="C648" s="1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>
      <c r="A649" s="3"/>
      <c r="B649" s="12"/>
      <c r="C649" s="1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>
      <c r="A650" s="3"/>
      <c r="B650" s="12"/>
      <c r="C650" s="1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>
      <c r="A651" s="3"/>
      <c r="B651" s="12"/>
      <c r="C651" s="1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>
      <c r="A652" s="3"/>
      <c r="B652" s="12"/>
      <c r="C652" s="1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>
      <c r="A653" s="3"/>
      <c r="B653" s="12"/>
      <c r="C653" s="1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>
      <c r="A654" s="3"/>
      <c r="B654" s="12"/>
      <c r="C654" s="1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>
      <c r="A655" s="3"/>
      <c r="B655" s="12"/>
      <c r="C655" s="1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>
      <c r="A656" s="3"/>
      <c r="B656" s="12"/>
      <c r="C656" s="1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>
      <c r="A657" s="3"/>
      <c r="B657" s="12"/>
      <c r="C657" s="1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>
      <c r="A658" s="3"/>
      <c r="B658" s="12"/>
      <c r="C658" s="1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>
      <c r="A659" s="3"/>
      <c r="B659" s="12"/>
      <c r="C659" s="1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>
      <c r="A660" s="3"/>
      <c r="B660" s="12"/>
      <c r="C660" s="1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>
      <c r="A661" s="3"/>
      <c r="B661" s="12"/>
      <c r="C661" s="1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>
      <c r="A662" s="3"/>
      <c r="B662" s="12"/>
      <c r="C662" s="1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>
      <c r="A663" s="3"/>
      <c r="B663" s="12"/>
      <c r="C663" s="1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>
      <c r="A664" s="3"/>
      <c r="B664" s="12"/>
      <c r="C664" s="1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>
      <c r="A665" s="3"/>
      <c r="B665" s="12"/>
      <c r="C665" s="1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>
      <c r="A666" s="3"/>
      <c r="B666" s="12"/>
      <c r="C666" s="1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>
      <c r="A667" s="3"/>
      <c r="B667" s="12"/>
      <c r="C667" s="1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>
      <c r="A668" s="3"/>
      <c r="B668" s="12"/>
      <c r="C668" s="1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>
      <c r="A669" s="3"/>
      <c r="B669" s="12"/>
      <c r="C669" s="1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>
      <c r="A670" s="3"/>
      <c r="B670" s="12"/>
      <c r="C670" s="1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>
      <c r="A671" s="3"/>
      <c r="B671" s="12"/>
      <c r="C671" s="1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>
      <c r="A672" s="3"/>
      <c r="B672" s="12"/>
      <c r="C672" s="1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>
      <c r="A673" s="3"/>
      <c r="B673" s="12"/>
      <c r="C673" s="1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>
      <c r="A674" s="3"/>
      <c r="B674" s="12"/>
      <c r="C674" s="1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>
      <c r="A675" s="3"/>
      <c r="B675" s="12"/>
      <c r="C675" s="1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>
      <c r="A676" s="3"/>
      <c r="B676" s="12"/>
      <c r="C676" s="1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>
      <c r="A677" s="3"/>
      <c r="B677" s="12"/>
      <c r="C677" s="1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>
      <c r="A678" s="3"/>
      <c r="B678" s="12"/>
      <c r="C678" s="1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>
      <c r="A679" s="3"/>
      <c r="B679" s="12"/>
      <c r="C679" s="1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>
      <c r="A680" s="3"/>
      <c r="B680" s="12"/>
      <c r="C680" s="1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>
      <c r="A681" s="3"/>
      <c r="B681" s="12"/>
      <c r="C681" s="1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>
      <c r="A682" s="3"/>
      <c r="B682" s="12"/>
      <c r="C682" s="1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>
      <c r="A683" s="3"/>
      <c r="B683" s="12"/>
      <c r="C683" s="1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>
      <c r="A684" s="3"/>
      <c r="B684" s="12"/>
      <c r="C684" s="1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>
      <c r="A685" s="3"/>
      <c r="B685" s="12"/>
      <c r="C685" s="1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>
      <c r="A686" s="3"/>
      <c r="B686" s="12"/>
      <c r="C686" s="1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>
      <c r="A687" s="3"/>
      <c r="B687" s="12"/>
      <c r="C687" s="1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>
      <c r="A688" s="3"/>
      <c r="B688" s="12"/>
      <c r="C688" s="1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>
      <c r="A689" s="3"/>
      <c r="B689" s="12"/>
      <c r="C689" s="1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>
      <c r="A690" s="3"/>
      <c r="B690" s="12"/>
      <c r="C690" s="1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>
      <c r="A691" s="3"/>
      <c r="B691" s="12"/>
      <c r="C691" s="1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>
      <c r="A692" s="3"/>
      <c r="B692" s="12"/>
      <c r="C692" s="1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>
      <c r="A693" s="3"/>
      <c r="B693" s="12"/>
      <c r="C693" s="1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>
      <c r="A694" s="3"/>
      <c r="B694" s="12"/>
      <c r="C694" s="1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>
      <c r="A695" s="3"/>
      <c r="B695" s="12"/>
      <c r="C695" s="1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>
      <c r="A696" s="3"/>
      <c r="B696" s="12"/>
      <c r="C696" s="1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>
      <c r="A697" s="3"/>
      <c r="B697" s="12"/>
      <c r="C697" s="1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>
      <c r="A698" s="3"/>
      <c r="B698" s="12"/>
      <c r="C698" s="1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>
      <c r="A699" s="3"/>
      <c r="B699" s="12"/>
      <c r="C699" s="1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>
      <c r="A700" s="3"/>
      <c r="B700" s="12"/>
      <c r="C700" s="1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>
      <c r="A701" s="3"/>
      <c r="B701" s="12"/>
      <c r="C701" s="1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>
      <c r="A702" s="3"/>
      <c r="B702" s="12"/>
      <c r="C702" s="1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>
      <c r="A703" s="3"/>
      <c r="B703" s="12"/>
      <c r="C703" s="1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>
      <c r="A704" s="3"/>
      <c r="B704" s="12"/>
      <c r="C704" s="1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>
      <c r="A705" s="3"/>
      <c r="B705" s="12"/>
      <c r="C705" s="1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>
      <c r="A706" s="3"/>
      <c r="B706" s="12"/>
      <c r="C706" s="1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>
      <c r="A707" s="3"/>
      <c r="B707" s="12"/>
      <c r="C707" s="1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>
      <c r="A708" s="3"/>
      <c r="B708" s="12"/>
      <c r="C708" s="1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>
      <c r="A709" s="3"/>
      <c r="B709" s="12"/>
      <c r="C709" s="1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>
      <c r="A710" s="3"/>
      <c r="B710" s="12"/>
      <c r="C710" s="1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>
      <c r="A711" s="3"/>
      <c r="B711" s="12"/>
      <c r="C711" s="1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>
      <c r="A712" s="3"/>
      <c r="B712" s="12"/>
      <c r="C712" s="1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>
      <c r="A713" s="3"/>
      <c r="B713" s="12"/>
      <c r="C713" s="1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>
      <c r="A714" s="3"/>
      <c r="B714" s="12"/>
      <c r="C714" s="1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>
      <c r="A715" s="3"/>
      <c r="B715" s="12"/>
      <c r="C715" s="1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>
      <c r="A716" s="3"/>
      <c r="B716" s="12"/>
      <c r="C716" s="1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>
      <c r="A717" s="3"/>
      <c r="B717" s="12"/>
      <c r="C717" s="1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>
      <c r="A718" s="3"/>
      <c r="B718" s="12"/>
      <c r="C718" s="1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>
      <c r="A719" s="3"/>
      <c r="B719" s="12"/>
      <c r="C719" s="1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>
      <c r="A720" s="3"/>
      <c r="B720" s="12"/>
      <c r="C720" s="1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>
      <c r="A721" s="3"/>
      <c r="B721" s="12"/>
      <c r="C721" s="1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>
      <c r="A722" s="3"/>
      <c r="B722" s="12"/>
      <c r="C722" s="1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>
      <c r="A723" s="3"/>
      <c r="B723" s="12"/>
      <c r="C723" s="1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>
      <c r="A724" s="3"/>
      <c r="B724" s="12"/>
      <c r="C724" s="1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>
      <c r="A725" s="3"/>
      <c r="B725" s="12"/>
      <c r="C725" s="1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>
      <c r="A726" s="3"/>
      <c r="B726" s="12"/>
      <c r="C726" s="1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>
      <c r="A727" s="3"/>
      <c r="B727" s="12"/>
      <c r="C727" s="1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>
      <c r="A728" s="3"/>
      <c r="B728" s="12"/>
      <c r="C728" s="1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>
      <c r="A729" s="3"/>
      <c r="B729" s="12"/>
      <c r="C729" s="1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>
      <c r="A730" s="3"/>
      <c r="B730" s="12"/>
      <c r="C730" s="1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>
      <c r="A731" s="3"/>
      <c r="B731" s="12"/>
      <c r="C731" s="1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>
      <c r="A732" s="3"/>
      <c r="B732" s="12"/>
      <c r="C732" s="1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>
      <c r="A733" s="3"/>
      <c r="B733" s="12"/>
      <c r="C733" s="1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>
      <c r="A734" s="3"/>
      <c r="B734" s="12"/>
      <c r="C734" s="1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>
      <c r="A735" s="3"/>
      <c r="B735" s="12"/>
      <c r="C735" s="1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>
      <c r="A736" s="3"/>
      <c r="B736" s="12"/>
      <c r="C736" s="1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>
      <c r="A737" s="3"/>
      <c r="B737" s="12"/>
      <c r="C737" s="1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>
      <c r="A738" s="3"/>
      <c r="B738" s="12"/>
      <c r="C738" s="1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>
      <c r="A739" s="3"/>
      <c r="B739" s="12"/>
      <c r="C739" s="1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>
      <c r="A740" s="3"/>
      <c r="B740" s="12"/>
      <c r="C740" s="1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>
      <c r="A741" s="3"/>
      <c r="B741" s="12"/>
      <c r="C741" s="1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>
      <c r="A742" s="3"/>
      <c r="B742" s="12"/>
      <c r="C742" s="1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>
      <c r="A743" s="3"/>
      <c r="B743" s="12"/>
      <c r="C743" s="1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>
      <c r="A744" s="3"/>
      <c r="B744" s="12"/>
      <c r="C744" s="1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>
      <c r="A745" s="3"/>
      <c r="B745" s="12"/>
      <c r="C745" s="1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>
      <c r="A746" s="3"/>
      <c r="B746" s="12"/>
      <c r="C746" s="1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>
      <c r="A747" s="3"/>
      <c r="B747" s="12"/>
      <c r="C747" s="1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>
      <c r="A748" s="3"/>
      <c r="B748" s="12"/>
      <c r="C748" s="1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>
      <c r="A749" s="3"/>
      <c r="B749" s="12"/>
      <c r="C749" s="1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>
      <c r="A750" s="3"/>
      <c r="B750" s="12"/>
      <c r="C750" s="1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>
      <c r="A751" s="3"/>
      <c r="B751" s="12"/>
      <c r="C751" s="1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>
      <c r="A752" s="3"/>
      <c r="B752" s="12"/>
      <c r="C752" s="1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>
      <c r="A753" s="3"/>
      <c r="B753" s="12"/>
      <c r="C753" s="1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>
      <c r="A754" s="3"/>
      <c r="B754" s="12"/>
      <c r="C754" s="1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>
      <c r="A755" s="3"/>
      <c r="B755" s="12"/>
      <c r="C755" s="1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>
      <c r="A756" s="3"/>
      <c r="B756" s="12"/>
      <c r="C756" s="1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>
      <c r="A757" s="3"/>
      <c r="B757" s="12"/>
      <c r="C757" s="1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>
      <c r="A758" s="3"/>
      <c r="B758" s="12"/>
      <c r="C758" s="1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>
      <c r="A759" s="3"/>
      <c r="B759" s="12"/>
      <c r="C759" s="1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>
      <c r="A760" s="3"/>
      <c r="B760" s="12"/>
      <c r="C760" s="1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>
      <c r="A761" s="3"/>
      <c r="B761" s="12"/>
      <c r="C761" s="1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>
      <c r="A762" s="3"/>
      <c r="B762" s="12"/>
      <c r="C762" s="1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>
      <c r="A763" s="3"/>
      <c r="B763" s="12"/>
      <c r="C763" s="1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>
      <c r="A764" s="3"/>
      <c r="B764" s="12"/>
      <c r="C764" s="1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>
      <c r="A765" s="3"/>
      <c r="B765" s="12"/>
      <c r="C765" s="1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>
      <c r="A766" s="3"/>
      <c r="B766" s="12"/>
      <c r="C766" s="1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>
      <c r="A767" s="3"/>
      <c r="B767" s="12"/>
      <c r="C767" s="1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>
      <c r="A768" s="3"/>
      <c r="B768" s="12"/>
      <c r="C768" s="1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>
      <c r="A769" s="3"/>
      <c r="B769" s="12"/>
      <c r="C769" s="1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>
      <c r="A770" s="3"/>
      <c r="B770" s="12"/>
      <c r="C770" s="1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>
      <c r="A771" s="3"/>
      <c r="B771" s="12"/>
      <c r="C771" s="1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>
      <c r="A772" s="3"/>
      <c r="B772" s="12"/>
      <c r="C772" s="1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>
      <c r="A773" s="3"/>
      <c r="B773" s="12"/>
      <c r="C773" s="1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>
      <c r="A774" s="3"/>
      <c r="B774" s="12"/>
      <c r="C774" s="1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>
      <c r="A775" s="3"/>
      <c r="B775" s="12"/>
      <c r="C775" s="1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>
      <c r="A776" s="3"/>
      <c r="B776" s="12"/>
      <c r="C776" s="1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>
      <c r="A777" s="3"/>
      <c r="B777" s="12"/>
      <c r="C777" s="1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>
      <c r="A778" s="3"/>
      <c r="B778" s="12"/>
      <c r="C778" s="1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>
      <c r="A779" s="3"/>
      <c r="B779" s="12"/>
      <c r="C779" s="1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>
      <c r="A780" s="3"/>
      <c r="B780" s="12"/>
      <c r="C780" s="1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>
      <c r="A781" s="3"/>
      <c r="B781" s="12"/>
      <c r="C781" s="1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>
      <c r="A782" s="3"/>
      <c r="B782" s="12"/>
      <c r="C782" s="1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>
      <c r="A783" s="3"/>
      <c r="B783" s="12"/>
      <c r="C783" s="1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>
      <c r="A784" s="3"/>
      <c r="B784" s="12"/>
      <c r="C784" s="1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>
      <c r="A785" s="3"/>
      <c r="B785" s="12"/>
      <c r="C785" s="1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>
      <c r="A786" s="3"/>
      <c r="B786" s="12"/>
      <c r="C786" s="1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>
      <c r="A787" s="3"/>
      <c r="B787" s="12"/>
      <c r="C787" s="1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>
      <c r="A788" s="3"/>
      <c r="B788" s="12"/>
      <c r="C788" s="1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>
      <c r="A789" s="3"/>
      <c r="B789" s="12"/>
      <c r="C789" s="1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>
      <c r="A790" s="3"/>
      <c r="B790" s="12"/>
      <c r="C790" s="1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>
      <c r="A791" s="3"/>
      <c r="B791" s="12"/>
      <c r="C791" s="1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>
      <c r="A792" s="3"/>
      <c r="B792" s="12"/>
      <c r="C792" s="1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>
      <c r="A793" s="3"/>
      <c r="B793" s="12"/>
      <c r="C793" s="1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>
      <c r="A794" s="3"/>
      <c r="B794" s="12"/>
      <c r="C794" s="1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>
      <c r="A795" s="3"/>
      <c r="B795" s="12"/>
      <c r="C795" s="1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>
      <c r="A796" s="3"/>
      <c r="B796" s="12"/>
      <c r="C796" s="1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>
      <c r="A797" s="3"/>
      <c r="B797" s="12"/>
      <c r="C797" s="1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>
      <c r="A798" s="3"/>
      <c r="B798" s="12"/>
      <c r="C798" s="1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>
      <c r="A799" s="3"/>
      <c r="B799" s="12"/>
      <c r="C799" s="1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>
      <c r="A800" s="3"/>
      <c r="B800" s="12"/>
      <c r="C800" s="1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>
      <c r="A801" s="3"/>
      <c r="B801" s="12"/>
      <c r="C801" s="1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>
      <c r="A802" s="3"/>
      <c r="B802" s="12"/>
      <c r="C802" s="1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>
      <c r="A803" s="3"/>
      <c r="B803" s="12"/>
      <c r="C803" s="1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>
      <c r="A804" s="3"/>
      <c r="B804" s="12"/>
      <c r="C804" s="1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>
      <c r="A805" s="3"/>
      <c r="B805" s="12"/>
      <c r="C805" s="1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>
      <c r="A806" s="3"/>
      <c r="B806" s="12"/>
      <c r="C806" s="1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>
      <c r="A807" s="3"/>
      <c r="B807" s="12"/>
      <c r="C807" s="1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>
      <c r="A808" s="3"/>
      <c r="B808" s="12"/>
      <c r="C808" s="1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>
      <c r="A809" s="3"/>
      <c r="B809" s="12"/>
      <c r="C809" s="1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>
      <c r="A810" s="3"/>
      <c r="B810" s="12"/>
      <c r="C810" s="1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>
      <c r="A811" s="3"/>
      <c r="B811" s="12"/>
      <c r="C811" s="1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>
      <c r="A812" s="3"/>
      <c r="B812" s="12"/>
      <c r="C812" s="1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>
      <c r="A813" s="3"/>
      <c r="B813" s="12"/>
      <c r="C813" s="1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>
      <c r="A814" s="3"/>
      <c r="B814" s="12"/>
      <c r="C814" s="1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>
      <c r="A815" s="3"/>
      <c r="B815" s="12"/>
      <c r="C815" s="1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>
      <c r="A816" s="3"/>
      <c r="B816" s="12"/>
      <c r="C816" s="1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>
      <c r="A817" s="3"/>
      <c r="B817" s="12"/>
      <c r="C817" s="1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>
      <c r="A818" s="3"/>
      <c r="B818" s="12"/>
      <c r="C818" s="1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>
      <c r="A819" s="3"/>
      <c r="B819" s="12"/>
      <c r="C819" s="1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>
      <c r="A820" s="3"/>
      <c r="B820" s="12"/>
      <c r="C820" s="1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>
      <c r="A821" s="3"/>
      <c r="B821" s="12"/>
      <c r="C821" s="1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>
      <c r="A822" s="3"/>
      <c r="B822" s="12"/>
      <c r="C822" s="1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>
      <c r="A823" s="3"/>
      <c r="B823" s="12"/>
      <c r="C823" s="1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>
      <c r="A824" s="3"/>
      <c r="B824" s="12"/>
      <c r="C824" s="1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>
      <c r="A825" s="3"/>
      <c r="B825" s="12"/>
      <c r="C825" s="1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>
      <c r="A826" s="3"/>
      <c r="B826" s="12"/>
      <c r="C826" s="1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>
      <c r="A827" s="3"/>
      <c r="B827" s="12"/>
      <c r="C827" s="1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>
      <c r="A828" s="3"/>
      <c r="B828" s="12"/>
      <c r="C828" s="1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>
      <c r="A829" s="3"/>
      <c r="B829" s="12"/>
      <c r="C829" s="1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>
      <c r="A830" s="3"/>
      <c r="B830" s="12"/>
      <c r="C830" s="1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>
      <c r="A831" s="3"/>
      <c r="B831" s="12"/>
      <c r="C831" s="1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>
      <c r="A832" s="3"/>
      <c r="B832" s="12"/>
      <c r="C832" s="1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>
      <c r="A833" s="3"/>
      <c r="B833" s="12"/>
      <c r="C833" s="1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>
      <c r="A834" s="3"/>
      <c r="B834" s="12"/>
      <c r="C834" s="1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>
      <c r="A835" s="3"/>
      <c r="B835" s="12"/>
      <c r="C835" s="1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>
      <c r="A836" s="3"/>
      <c r="B836" s="12"/>
      <c r="C836" s="1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>
      <c r="A837" s="3"/>
      <c r="B837" s="12"/>
      <c r="C837" s="1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>
      <c r="A838" s="3"/>
      <c r="B838" s="12"/>
      <c r="C838" s="1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>
      <c r="A839" s="3"/>
      <c r="B839" s="12"/>
      <c r="C839" s="1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>
      <c r="A840" s="3"/>
      <c r="B840" s="12"/>
      <c r="C840" s="1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>
      <c r="A841" s="3"/>
      <c r="B841" s="12"/>
      <c r="C841" s="1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>
      <c r="A842" s="3"/>
      <c r="B842" s="12"/>
      <c r="C842" s="1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>
      <c r="A843" s="3"/>
      <c r="B843" s="12"/>
      <c r="C843" s="1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>
      <c r="A844" s="3"/>
      <c r="B844" s="12"/>
      <c r="C844" s="1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>
      <c r="A845" s="3"/>
      <c r="B845" s="12"/>
      <c r="C845" s="1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>
      <c r="A846" s="3"/>
      <c r="B846" s="12"/>
      <c r="C846" s="1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>
      <c r="A847" s="3"/>
      <c r="B847" s="12"/>
      <c r="C847" s="1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>
      <c r="A848" s="3"/>
      <c r="B848" s="12"/>
      <c r="C848" s="1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>
      <c r="A849" s="3"/>
      <c r="B849" s="12"/>
      <c r="C849" s="1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>
      <c r="A850" s="3"/>
      <c r="B850" s="12"/>
      <c r="C850" s="1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>
      <c r="A851" s="3"/>
      <c r="B851" s="12"/>
      <c r="C851" s="1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>
      <c r="A852" s="3"/>
      <c r="B852" s="12"/>
      <c r="C852" s="1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>
      <c r="A853" s="3"/>
      <c r="B853" s="12"/>
      <c r="C853" s="1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>
      <c r="A854" s="3"/>
      <c r="B854" s="12"/>
      <c r="C854" s="1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>
      <c r="A855" s="3"/>
      <c r="B855" s="12"/>
      <c r="C855" s="1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>
      <c r="A856" s="3"/>
      <c r="B856" s="12"/>
      <c r="C856" s="1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>
      <c r="A857" s="3"/>
      <c r="B857" s="12"/>
      <c r="C857" s="1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>
      <c r="A858" s="3"/>
      <c r="B858" s="12"/>
      <c r="C858" s="1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>
      <c r="A859" s="3"/>
      <c r="B859" s="12"/>
      <c r="C859" s="1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>
      <c r="A860" s="3"/>
      <c r="B860" s="12"/>
      <c r="C860" s="1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>
      <c r="A861" s="3"/>
      <c r="B861" s="12"/>
      <c r="C861" s="1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>
      <c r="A862" s="3"/>
      <c r="B862" s="12"/>
      <c r="C862" s="1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>
      <c r="A863" s="3"/>
      <c r="B863" s="12"/>
      <c r="C863" s="1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>
      <c r="A864" s="3"/>
      <c r="B864" s="12"/>
      <c r="C864" s="1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>
      <c r="A865" s="3"/>
      <c r="B865" s="12"/>
      <c r="C865" s="1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>
      <c r="A866" s="3"/>
      <c r="B866" s="12"/>
      <c r="C866" s="1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>
      <c r="A867" s="3"/>
      <c r="B867" s="12"/>
      <c r="C867" s="1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>
      <c r="A868" s="3"/>
      <c r="B868" s="12"/>
      <c r="C868" s="1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>
      <c r="A869" s="3"/>
      <c r="B869" s="12"/>
      <c r="C869" s="1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>
      <c r="A870" s="3"/>
      <c r="B870" s="12"/>
      <c r="C870" s="1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>
      <c r="A871" s="3"/>
      <c r="B871" s="12"/>
      <c r="C871" s="1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>
      <c r="A872" s="3"/>
      <c r="B872" s="12"/>
      <c r="C872" s="1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>
      <c r="A873" s="3"/>
      <c r="B873" s="12"/>
      <c r="C873" s="1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>
      <c r="A874" s="3"/>
      <c r="B874" s="12"/>
      <c r="C874" s="1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>
      <c r="A875" s="3"/>
      <c r="B875" s="12"/>
      <c r="C875" s="1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>
      <c r="A876" s="3"/>
      <c r="B876" s="12"/>
      <c r="C876" s="1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>
      <c r="A877" s="3"/>
      <c r="B877" s="12"/>
      <c r="C877" s="1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>
      <c r="A878" s="3"/>
      <c r="B878" s="12"/>
      <c r="C878" s="1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>
      <c r="A879" s="3"/>
      <c r="B879" s="12"/>
      <c r="C879" s="1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>
      <c r="A880" s="3"/>
      <c r="B880" s="12"/>
      <c r="C880" s="1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>
      <c r="A881" s="3"/>
      <c r="B881" s="12"/>
      <c r="C881" s="1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>
      <c r="A882" s="3"/>
      <c r="B882" s="12"/>
      <c r="C882" s="1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>
      <c r="A883" s="3"/>
      <c r="B883" s="12"/>
      <c r="C883" s="1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>
      <c r="A884" s="3"/>
      <c r="B884" s="12"/>
      <c r="C884" s="1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>
      <c r="A885" s="3"/>
      <c r="B885" s="12"/>
      <c r="C885" s="1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>
      <c r="A886" s="3"/>
      <c r="B886" s="12"/>
      <c r="C886" s="1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>
      <c r="A887" s="3"/>
      <c r="B887" s="12"/>
      <c r="C887" s="1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>
      <c r="A888" s="3"/>
      <c r="B888" s="12"/>
      <c r="C888" s="1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>
      <c r="A889" s="3"/>
      <c r="B889" s="12"/>
      <c r="C889" s="1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>
      <c r="A890" s="3"/>
      <c r="B890" s="12"/>
      <c r="C890" s="1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>
      <c r="A891" s="3"/>
      <c r="B891" s="12"/>
      <c r="C891" s="1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>
      <c r="A892" s="3"/>
      <c r="B892" s="12"/>
      <c r="C892" s="1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>
      <c r="A893" s="3"/>
      <c r="B893" s="12"/>
      <c r="C893" s="1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>
      <c r="A894" s="3"/>
      <c r="B894" s="12"/>
      <c r="C894" s="1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>
      <c r="A895" s="3"/>
      <c r="B895" s="12"/>
      <c r="C895" s="1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>
      <c r="A896" s="3"/>
      <c r="B896" s="12"/>
      <c r="C896" s="1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>
      <c r="A897" s="3"/>
      <c r="B897" s="12"/>
      <c r="C897" s="1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>
      <c r="A898" s="3"/>
      <c r="B898" s="12"/>
      <c r="C898" s="1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>
      <c r="A899" s="3"/>
      <c r="B899" s="12"/>
      <c r="C899" s="1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>
      <c r="A900" s="3"/>
      <c r="B900" s="12"/>
      <c r="C900" s="1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>
      <c r="A901" s="3"/>
      <c r="B901" s="12"/>
      <c r="C901" s="1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>
      <c r="A902" s="3"/>
      <c r="B902" s="12"/>
      <c r="C902" s="1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>
      <c r="A903" s="3"/>
      <c r="B903" s="12"/>
      <c r="C903" s="1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>
      <c r="A904" s="3"/>
      <c r="B904" s="12"/>
      <c r="C904" s="1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>
      <c r="A905" s="3"/>
      <c r="B905" s="12"/>
      <c r="C905" s="1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>
      <c r="A906" s="3"/>
      <c r="B906" s="12"/>
      <c r="C906" s="1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>
      <c r="A907" s="3"/>
      <c r="B907" s="12"/>
      <c r="C907" s="1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>
      <c r="A908" s="3"/>
      <c r="B908" s="12"/>
      <c r="C908" s="1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>
      <c r="A909" s="3"/>
      <c r="B909" s="12"/>
      <c r="C909" s="1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>
      <c r="A910" s="3"/>
      <c r="B910" s="12"/>
      <c r="C910" s="1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>
      <c r="A911" s="3"/>
      <c r="B911" s="12"/>
      <c r="C911" s="1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>
      <c r="A912" s="3"/>
      <c r="B912" s="12"/>
      <c r="C912" s="1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>
      <c r="A913" s="3"/>
      <c r="B913" s="12"/>
      <c r="C913" s="1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>
      <c r="A914" s="3"/>
      <c r="B914" s="12"/>
      <c r="C914" s="1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>
      <c r="A915" s="3"/>
      <c r="B915" s="12"/>
      <c r="C915" s="1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>
      <c r="A916" s="3"/>
      <c r="B916" s="12"/>
      <c r="C916" s="1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>
      <c r="A917" s="3"/>
      <c r="B917" s="12"/>
      <c r="C917" s="1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>
      <c r="A918" s="3"/>
      <c r="B918" s="12"/>
      <c r="C918" s="1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>
      <c r="A919" s="3"/>
      <c r="B919" s="12"/>
      <c r="C919" s="1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>
      <c r="A920" s="3"/>
      <c r="B920" s="12"/>
      <c r="C920" s="1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>
      <c r="A921" s="3"/>
      <c r="B921" s="12"/>
      <c r="C921" s="1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>
      <c r="A922" s="3"/>
      <c r="B922" s="12"/>
      <c r="C922" s="1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>
      <c r="A923" s="3"/>
      <c r="B923" s="12"/>
      <c r="C923" s="1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>
      <c r="A924" s="3"/>
      <c r="B924" s="12"/>
      <c r="C924" s="1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>
      <c r="A925" s="3"/>
      <c r="B925" s="12"/>
      <c r="C925" s="1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>
      <c r="A926" s="3"/>
      <c r="B926" s="12"/>
      <c r="C926" s="1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>
      <c r="A927" s="3"/>
      <c r="B927" s="12"/>
      <c r="C927" s="1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>
      <c r="A928" s="3"/>
      <c r="B928" s="12"/>
      <c r="C928" s="1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>
      <c r="A929" s="3"/>
      <c r="B929" s="12"/>
      <c r="C929" s="1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>
      <c r="A930" s="3"/>
      <c r="B930" s="12"/>
      <c r="C930" s="1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>
      <c r="A931" s="3"/>
      <c r="B931" s="12"/>
      <c r="C931" s="1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>
      <c r="A932" s="3"/>
      <c r="B932" s="12"/>
      <c r="C932" s="1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>
      <c r="A933" s="3"/>
      <c r="B933" s="12"/>
      <c r="C933" s="1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>
      <c r="A934" s="3"/>
      <c r="B934" s="12"/>
      <c r="C934" s="1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>
      <c r="A935" s="3"/>
      <c r="B935" s="12"/>
      <c r="C935" s="1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>
      <c r="A936" s="3"/>
      <c r="B936" s="12"/>
      <c r="C936" s="1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>
      <c r="A937" s="3"/>
      <c r="B937" s="12"/>
      <c r="C937" s="1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>
      <c r="A938" s="3"/>
      <c r="B938" s="12"/>
      <c r="C938" s="1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>
      <c r="A939" s="3"/>
      <c r="B939" s="12"/>
      <c r="C939" s="1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>
      <c r="A940" s="3"/>
      <c r="B940" s="12"/>
      <c r="C940" s="1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>
      <c r="A941" s="3"/>
      <c r="B941" s="12"/>
      <c r="C941" s="1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>
      <c r="A942" s="3"/>
      <c r="B942" s="12"/>
      <c r="C942" s="1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>
      <c r="A943" s="3"/>
      <c r="B943" s="12"/>
      <c r="C943" s="1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>
      <c r="A944" s="3"/>
      <c r="B944" s="12"/>
      <c r="C944" s="1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>
      <c r="A945" s="3"/>
      <c r="B945" s="12"/>
      <c r="C945" s="1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>
      <c r="A946" s="3"/>
      <c r="B946" s="12"/>
      <c r="C946" s="1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>
      <c r="A947" s="3"/>
      <c r="B947" s="12"/>
      <c r="C947" s="1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>
      <c r="A948" s="3"/>
      <c r="B948" s="12"/>
      <c r="C948" s="1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>
      <c r="A949" s="3"/>
      <c r="B949" s="12"/>
      <c r="C949" s="1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>
      <c r="A950" s="3"/>
      <c r="B950" s="12"/>
      <c r="C950" s="1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>
      <c r="A951" s="3"/>
      <c r="B951" s="12"/>
      <c r="C951" s="1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>
      <c r="A952" s="3"/>
      <c r="B952" s="12"/>
      <c r="C952" s="1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>
      <c r="A953" s="3"/>
      <c r="B953" s="12"/>
      <c r="C953" s="1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>
      <c r="A954" s="3"/>
      <c r="B954" s="12"/>
      <c r="C954" s="1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>
      <c r="A955" s="3"/>
      <c r="B955" s="12"/>
      <c r="C955" s="1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>
      <c r="A956" s="3"/>
      <c r="B956" s="12"/>
      <c r="C956" s="1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>
      <c r="A957" s="3"/>
      <c r="B957" s="12"/>
      <c r="C957" s="1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>
      <c r="A958" s="3"/>
      <c r="B958" s="12"/>
      <c r="C958" s="1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>
      <c r="A959" s="3"/>
      <c r="B959" s="12"/>
      <c r="C959" s="1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>
      <c r="A960" s="3"/>
      <c r="B960" s="12"/>
      <c r="C960" s="1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>
      <c r="A961" s="3"/>
      <c r="B961" s="12"/>
      <c r="C961" s="1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>
      <c r="A962" s="3"/>
      <c r="B962" s="12"/>
      <c r="C962" s="1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>
      <c r="A963" s="3"/>
      <c r="B963" s="12"/>
      <c r="C963" s="1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>
      <c r="A964" s="3"/>
      <c r="B964" s="12"/>
      <c r="C964" s="1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>
      <c r="A965" s="3"/>
      <c r="B965" s="12"/>
      <c r="C965" s="1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>
      <c r="A966" s="3"/>
      <c r="B966" s="12"/>
      <c r="C966" s="1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>
      <c r="A967" s="3"/>
      <c r="B967" s="12"/>
      <c r="C967" s="1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>
      <c r="A968" s="3"/>
      <c r="B968" s="12"/>
      <c r="C968" s="1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>
      <c r="A969" s="3"/>
      <c r="B969" s="12"/>
      <c r="C969" s="1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>
      <c r="A970" s="3"/>
      <c r="B970" s="12"/>
      <c r="C970" s="1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>
      <c r="A971" s="3"/>
      <c r="B971" s="12"/>
      <c r="C971" s="1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>
      <c r="A972" s="3"/>
      <c r="B972" s="12"/>
      <c r="C972" s="1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>
      <c r="A973" s="3"/>
      <c r="B973" s="12"/>
      <c r="C973" s="1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>
      <c r="A974" s="3"/>
      <c r="B974" s="12"/>
      <c r="C974" s="1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>
      <c r="A975" s="3"/>
      <c r="B975" s="12"/>
      <c r="C975" s="1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>
      <c r="A976" s="3"/>
      <c r="B976" s="12"/>
      <c r="C976" s="1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>
      <c r="A977" s="3"/>
      <c r="B977" s="12"/>
      <c r="C977" s="1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>
      <c r="A978" s="3"/>
      <c r="B978" s="12"/>
      <c r="C978" s="1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>
      <c r="A979" s="3"/>
      <c r="B979" s="12"/>
      <c r="C979" s="1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>
      <c r="A980" s="3"/>
      <c r="B980" s="12"/>
      <c r="C980" s="1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>
      <c r="A981" s="3"/>
      <c r="B981" s="12"/>
      <c r="C981" s="1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>
      <c r="A982" s="3"/>
      <c r="B982" s="12"/>
      <c r="C982" s="1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>
      <c r="A983" s="3"/>
      <c r="B983" s="12"/>
      <c r="C983" s="1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>
      <c r="A984" s="3"/>
      <c r="B984" s="12"/>
      <c r="C984" s="1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>
      <c r="A985" s="3"/>
      <c r="B985" s="12"/>
      <c r="C985" s="1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>
      <c r="A986" s="3"/>
      <c r="B986" s="12"/>
      <c r="C986" s="1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>
      <c r="A987" s="3"/>
      <c r="B987" s="12"/>
      <c r="C987" s="1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>
      <c r="A988" s="3"/>
      <c r="B988" s="12"/>
      <c r="C988" s="1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>
      <c r="A989" s="3"/>
      <c r="B989" s="12"/>
      <c r="C989" s="1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>
      <c r="A990" s="3"/>
      <c r="B990" s="12"/>
      <c r="C990" s="1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>
      <c r="A991" s="3"/>
      <c r="B991" s="12"/>
      <c r="C991" s="1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>
      <c r="A992" s="3"/>
      <c r="B992" s="12"/>
      <c r="C992" s="1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>
      <c r="A993" s="3"/>
      <c r="B993" s="12"/>
      <c r="C993" s="1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>
      <c r="A994" s="3"/>
      <c r="B994" s="12"/>
      <c r="C994" s="1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>
      <c r="A995" s="3"/>
      <c r="B995" s="12"/>
      <c r="C995" s="1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>
      <c r="A996" s="3"/>
      <c r="B996" s="12"/>
      <c r="C996" s="1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>
      <c r="A997" s="3"/>
      <c r="B997" s="12"/>
      <c r="C997" s="1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>
      <c r="A998" s="3"/>
      <c r="B998" s="12"/>
      <c r="C998" s="1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>
      <c r="A999" s="3"/>
      <c r="B999" s="12"/>
      <c r="C999" s="1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>
      <c r="A1000" s="3"/>
      <c r="B1000" s="12"/>
      <c r="C1000" s="1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>
      <selection activeCell="J21" sqref="J21:K25"/>
    </sheetView>
  </sheetViews>
  <sheetFormatPr baseColWidth="10" defaultColWidth="12.5703125" defaultRowHeight="15.75" customHeight="1"/>
  <cols>
    <col min="1" max="1" width="12.5703125" style="17"/>
    <col min="2" max="2" width="16.5703125" style="17" bestFit="1" customWidth="1"/>
    <col min="3" max="16384" width="12.5703125" style="17"/>
  </cols>
  <sheetData>
    <row r="1" spans="1:22" ht="12.75">
      <c r="A1" s="15" t="s">
        <v>0</v>
      </c>
      <c r="B1" s="15" t="s">
        <v>1</v>
      </c>
      <c r="C1" s="15" t="s">
        <v>2</v>
      </c>
      <c r="D1" s="15" t="s">
        <v>4</v>
      </c>
      <c r="E1" s="16"/>
      <c r="F1" s="16"/>
      <c r="G1" s="16"/>
      <c r="H1" s="16"/>
      <c r="I1" s="16"/>
      <c r="J1" s="22" t="s">
        <v>12</v>
      </c>
      <c r="K1" s="22">
        <f>CORREL(B2:B19, C2:C19)</f>
        <v>0.82033797879732617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2.75">
      <c r="A2" s="18">
        <v>1</v>
      </c>
      <c r="B2" s="19">
        <v>43.321584450000003</v>
      </c>
      <c r="C2" s="20">
        <v>58.02</v>
      </c>
      <c r="D2" s="21">
        <v>46106</v>
      </c>
      <c r="E2" s="16"/>
      <c r="F2" s="16"/>
      <c r="G2" s="16"/>
      <c r="H2" s="16"/>
      <c r="I2" s="16"/>
      <c r="J2" s="22" t="s">
        <v>8</v>
      </c>
      <c r="K2" s="22">
        <f>K1^2</f>
        <v>0.67295439945728242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12.75">
      <c r="A3" s="18">
        <v>2</v>
      </c>
      <c r="B3" s="19">
        <v>48.532748359999999</v>
      </c>
      <c r="C3" s="20">
        <v>59.15</v>
      </c>
      <c r="D3" s="21">
        <v>46282</v>
      </c>
      <c r="E3" s="16"/>
      <c r="F3" s="16"/>
      <c r="G3" s="16"/>
      <c r="H3" s="16"/>
      <c r="I3" s="16"/>
      <c r="J3" s="22" t="s">
        <v>9</v>
      </c>
      <c r="K3" s="22">
        <f>SQRT(SUMPRODUCT((B2:B19-C2:C19)^2)/18)</f>
        <v>32.287498326662075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12.75">
      <c r="A4" s="18">
        <v>3</v>
      </c>
      <c r="B4" s="19">
        <v>50.642277839999998</v>
      </c>
      <c r="C4" s="20">
        <v>49.93</v>
      </c>
      <c r="D4" s="21">
        <v>46113</v>
      </c>
      <c r="E4" s="16"/>
      <c r="F4" s="16"/>
      <c r="G4" s="16"/>
      <c r="H4" s="16"/>
      <c r="I4" s="16"/>
      <c r="J4" s="22" t="s">
        <v>10</v>
      </c>
      <c r="K4" s="23">
        <f>AVERAGE(B2:B19)-AVERAGE(C2:C19)</f>
        <v>-17.7299850861111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ht="12.75">
      <c r="A5" s="18">
        <v>4</v>
      </c>
      <c r="B5" s="19">
        <v>79.275697910000005</v>
      </c>
      <c r="C5" s="20">
        <v>71.569999999999993</v>
      </c>
      <c r="D5" s="21">
        <v>46244</v>
      </c>
      <c r="E5" s="16"/>
      <c r="F5" s="16"/>
      <c r="G5" s="16"/>
      <c r="H5" s="16"/>
      <c r="I5" s="16"/>
      <c r="J5" s="22" t="s">
        <v>11</v>
      </c>
      <c r="K5" s="22">
        <f>SUMPRODUCT(ABS(B2:B19-C2:C19))/18</f>
        <v>22.888644117222228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12.75">
      <c r="A6" s="18">
        <v>5</v>
      </c>
      <c r="B6" s="19">
        <v>59.026382099999999</v>
      </c>
      <c r="C6" s="20">
        <v>54.49</v>
      </c>
      <c r="D6" s="21">
        <v>46089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12.75">
      <c r="A7" s="18">
        <v>6</v>
      </c>
      <c r="B7" s="19">
        <v>32.224256029999999</v>
      </c>
      <c r="C7" s="20">
        <v>63.12</v>
      </c>
      <c r="D7" s="20">
        <v>48.9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2.75">
      <c r="A8" s="18">
        <v>7</v>
      </c>
      <c r="B8" s="19">
        <v>75.308423809999994</v>
      </c>
      <c r="C8" s="20">
        <v>69.52</v>
      </c>
      <c r="D8" s="21">
        <v>46089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2.75">
      <c r="A9" s="18">
        <v>8</v>
      </c>
      <c r="B9" s="19">
        <v>69.229767420000002</v>
      </c>
      <c r="C9" s="20">
        <v>63.16</v>
      </c>
      <c r="D9" s="21">
        <v>46182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2.75">
      <c r="A10" s="18">
        <v>9</v>
      </c>
      <c r="B10" s="19">
        <v>36.114012600000002</v>
      </c>
      <c r="C10" s="20">
        <v>52.35</v>
      </c>
      <c r="D10" s="20">
        <v>31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2.75">
      <c r="A11" s="18">
        <v>10</v>
      </c>
      <c r="B11" s="19">
        <v>63.713383669999999</v>
      </c>
      <c r="C11" s="20">
        <v>93.28</v>
      </c>
      <c r="D11" s="21">
        <v>46234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2.75">
      <c r="A12" s="18">
        <v>11</v>
      </c>
      <c r="B12" s="19">
        <v>94.950247529999999</v>
      </c>
      <c r="C12" s="20">
        <v>122.59</v>
      </c>
      <c r="D12" s="21">
        <v>46164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12.75">
      <c r="A13" s="18">
        <v>12</v>
      </c>
      <c r="B13" s="19">
        <v>73.496170989999996</v>
      </c>
      <c r="C13" s="20">
        <v>123.71</v>
      </c>
      <c r="D13" s="20">
        <v>40.6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2.75">
      <c r="A14" s="18">
        <v>13</v>
      </c>
      <c r="B14" s="19">
        <v>120.3600624</v>
      </c>
      <c r="C14" s="20">
        <v>109.33</v>
      </c>
      <c r="D14" s="21">
        <v>46032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12.75">
      <c r="A15" s="18">
        <v>14</v>
      </c>
      <c r="B15" s="19">
        <v>136.76531979999999</v>
      </c>
      <c r="C15" s="20">
        <v>126.18</v>
      </c>
      <c r="D15" s="21">
        <v>46120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2.75">
      <c r="A16" s="18">
        <v>15</v>
      </c>
      <c r="B16" s="19">
        <v>121.8860174</v>
      </c>
      <c r="C16" s="20">
        <v>133</v>
      </c>
      <c r="D16" s="21">
        <v>46120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12.75">
      <c r="A17" s="18">
        <v>16</v>
      </c>
      <c r="B17" s="19">
        <v>79.400224440000002</v>
      </c>
      <c r="C17" s="20">
        <v>171.58</v>
      </c>
      <c r="D17" s="20">
        <v>53.7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ht="12.75">
      <c r="A18" s="18">
        <v>17</v>
      </c>
      <c r="B18" s="19">
        <v>133.6534753</v>
      </c>
      <c r="C18" s="20">
        <v>192.99</v>
      </c>
      <c r="D18" s="21">
        <v>46233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ht="12.75">
      <c r="A19" s="18">
        <v>18</v>
      </c>
      <c r="B19" s="19">
        <v>169.45021639999999</v>
      </c>
      <c r="C19" s="20">
        <v>192.52</v>
      </c>
      <c r="D19" s="20">
        <v>12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ht="12.7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ht="12.75">
      <c r="A21" s="15" t="s">
        <v>0</v>
      </c>
      <c r="B21" s="15" t="s">
        <v>1</v>
      </c>
      <c r="C21" s="15" t="s">
        <v>2</v>
      </c>
      <c r="D21" s="15" t="s">
        <v>4</v>
      </c>
      <c r="E21" s="16"/>
      <c r="F21" s="16"/>
      <c r="G21" s="16"/>
      <c r="H21" s="16"/>
      <c r="I21" s="16"/>
      <c r="J21" s="24" t="s">
        <v>12</v>
      </c>
      <c r="K21" s="24">
        <f>CORREL(B22:B39, C22:C39)</f>
        <v>0.93780410357668598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ht="12.75">
      <c r="A22" s="18">
        <v>1</v>
      </c>
      <c r="B22" s="19">
        <v>97.090100000000007</v>
      </c>
      <c r="C22" s="20">
        <v>108.37</v>
      </c>
      <c r="D22" s="21">
        <v>46122</v>
      </c>
      <c r="E22" s="16"/>
      <c r="F22" s="16"/>
      <c r="G22" s="16"/>
      <c r="H22" s="16"/>
      <c r="I22" s="16"/>
      <c r="J22" s="24" t="s">
        <v>8</v>
      </c>
      <c r="K22" s="24">
        <f>K21^2</f>
        <v>0.87947653668527159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12.75">
      <c r="A23" s="18">
        <v>2</v>
      </c>
      <c r="B23" s="19">
        <v>77.066879999999998</v>
      </c>
      <c r="C23" s="20">
        <v>120.25</v>
      </c>
      <c r="D23" s="20">
        <v>35.9</v>
      </c>
      <c r="E23" s="16"/>
      <c r="F23" s="16"/>
      <c r="G23" s="16"/>
      <c r="H23" s="16"/>
      <c r="I23" s="16"/>
      <c r="J23" s="24" t="s">
        <v>9</v>
      </c>
      <c r="K23" s="24">
        <f>SQRT(SUMPRODUCT((B22:B39-C22:C39)^2)/18)</f>
        <v>43.034394383540345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ht="12.75">
      <c r="A24" s="18">
        <v>3</v>
      </c>
      <c r="B24" s="19">
        <v>89.933229999999995</v>
      </c>
      <c r="C24" s="20">
        <v>114.29</v>
      </c>
      <c r="D24" s="21">
        <v>46102</v>
      </c>
      <c r="E24" s="16"/>
      <c r="F24" s="16"/>
      <c r="G24" s="16"/>
      <c r="H24" s="16"/>
      <c r="I24" s="16"/>
      <c r="J24" s="24" t="s">
        <v>10</v>
      </c>
      <c r="K24" s="25">
        <f>AVERAGE(B22:B39)-AVERAGE(C22:C39)</f>
        <v>-23.498988888888931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12.75">
      <c r="A25" s="18">
        <v>4</v>
      </c>
      <c r="B25" s="19">
        <v>96.928650000000005</v>
      </c>
      <c r="C25" s="20">
        <v>115.23</v>
      </c>
      <c r="D25" s="21">
        <v>46280</v>
      </c>
      <c r="E25" s="16"/>
      <c r="F25" s="16"/>
      <c r="G25" s="16"/>
      <c r="H25" s="16"/>
      <c r="I25" s="16"/>
      <c r="J25" s="24" t="s">
        <v>11</v>
      </c>
      <c r="K25" s="24">
        <f>SUMPRODUCT(ABS(B22:B39-C22:C39))/18</f>
        <v>33.919622222222216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2.75">
      <c r="A26" s="18">
        <v>5</v>
      </c>
      <c r="B26" s="19">
        <v>72.683030000000002</v>
      </c>
      <c r="C26" s="20">
        <v>105.87</v>
      </c>
      <c r="D26" s="21">
        <v>46112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ht="12.75">
      <c r="A27" s="18">
        <v>6</v>
      </c>
      <c r="B27" s="19">
        <v>40.62283</v>
      </c>
      <c r="C27" s="20">
        <v>100.56</v>
      </c>
      <c r="D27" s="20">
        <v>59.6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2.75">
      <c r="A28" s="18">
        <v>7</v>
      </c>
      <c r="B28" s="19">
        <v>95.743620000000007</v>
      </c>
      <c r="C28" s="20">
        <v>122.88</v>
      </c>
      <c r="D28" s="21">
        <v>46044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2.75">
      <c r="A29" s="18">
        <v>8</v>
      </c>
      <c r="B29" s="19">
        <v>73.033460000000005</v>
      </c>
      <c r="C29" s="20">
        <v>109.35</v>
      </c>
      <c r="D29" s="20">
        <v>33.200000000000003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2.75">
      <c r="A30" s="18">
        <v>9</v>
      </c>
      <c r="B30" s="19">
        <v>122.2265</v>
      </c>
      <c r="C30" s="20">
        <v>133.21</v>
      </c>
      <c r="D30" s="21">
        <v>46061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12.75">
      <c r="A31" s="18">
        <v>10</v>
      </c>
      <c r="B31" s="19">
        <v>260.27870000000001</v>
      </c>
      <c r="C31" s="20">
        <v>238.55</v>
      </c>
      <c r="D31" s="21">
        <v>46031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ht="12.75">
      <c r="A32" s="18">
        <v>11</v>
      </c>
      <c r="B32" s="19">
        <v>242.5446</v>
      </c>
      <c r="C32" s="20">
        <v>237.91</v>
      </c>
      <c r="D32" s="21">
        <v>46266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ht="12.75">
      <c r="A33" s="18">
        <v>12</v>
      </c>
      <c r="B33" s="19">
        <v>155.0309</v>
      </c>
      <c r="C33" s="20">
        <v>220.4</v>
      </c>
      <c r="D33" s="21">
        <v>46232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ht="12.75">
      <c r="A34" s="18">
        <v>13</v>
      </c>
      <c r="B34" s="19">
        <v>227.49090000000001</v>
      </c>
      <c r="C34" s="20">
        <v>208.64</v>
      </c>
      <c r="D34" s="20">
        <v>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12.75">
      <c r="A35" s="18">
        <v>14</v>
      </c>
      <c r="B35" s="19">
        <v>108.0856</v>
      </c>
      <c r="C35" s="20">
        <v>223.81</v>
      </c>
      <c r="D35" s="20">
        <v>51.7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ht="12.75">
      <c r="A36" s="18">
        <v>15</v>
      </c>
      <c r="B36" s="19">
        <v>239.99780000000001</v>
      </c>
      <c r="C36" s="20">
        <v>250.15</v>
      </c>
      <c r="D36" s="21">
        <v>46026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ht="12.75">
      <c r="A37" s="18">
        <v>16</v>
      </c>
      <c r="B37" s="19">
        <v>368.38350000000003</v>
      </c>
      <c r="C37" s="20">
        <v>348.94</v>
      </c>
      <c r="D37" s="21">
        <v>46178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ht="12.75">
      <c r="A38" s="18">
        <v>17</v>
      </c>
      <c r="B38" s="19">
        <v>357.488</v>
      </c>
      <c r="C38" s="20">
        <v>328.36</v>
      </c>
      <c r="D38" s="21">
        <v>46273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ht="12.75">
      <c r="A39" s="18">
        <v>18</v>
      </c>
      <c r="B39" s="19">
        <v>283.97989999999999</v>
      </c>
      <c r="C39" s="20">
        <v>344.82</v>
      </c>
      <c r="D39" s="21">
        <v>46190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ht="12.7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ht="12.7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ht="12.7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ht="12.7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ht="12.7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ht="12.7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ht="12.7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12.7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ht="12.7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ht="12.7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ht="12.7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ht="12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ht="12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ht="12.7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ht="12.7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ht="12.7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ht="12.7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ht="12.7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ht="12.7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ht="12.7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ht="12.7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ht="12.7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ht="12.7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ht="12.7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ht="12.7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ht="12.7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ht="12.7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ht="12.7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ht="12.7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ht="12.7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ht="12.7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ht="12.7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ht="12.7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ht="12.7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ht="12.7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ht="12.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ht="12.7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ht="12.7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ht="12.7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ht="12.7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ht="12.7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ht="12.7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ht="12.7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ht="12.7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ht="12.7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ht="12.7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ht="12.7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ht="12.7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ht="12.7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ht="12.7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ht="12.7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ht="12.7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ht="12.7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ht="12.7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ht="12.7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ht="12.7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ht="12.7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ht="12.7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ht="12.7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ht="12.7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ht="12.7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ht="12.7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ht="12.7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ht="12.7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ht="12.7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ht="12.7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ht="12.7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ht="12.7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ht="12.7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ht="12.7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ht="12.7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ht="12.7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ht="12.7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ht="12.7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ht="12.7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ht="12.7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ht="12.7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ht="12.7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ht="12.7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ht="12.7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spans="1:22" ht="12.7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spans="1:22" ht="12.7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spans="1:22" ht="12.7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spans="1:22" ht="12.7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spans="1:22" ht="12.7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spans="1:22" ht="12.7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spans="1:22" ht="12.7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spans="1:22" ht="12.7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spans="1:22" ht="12.7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1:22" ht="12.7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spans="1:22" ht="12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1:22" ht="12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spans="1:22" ht="12.7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2" ht="12.7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spans="1:22" ht="12.7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spans="1:22" ht="12.7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spans="1:22" ht="12.7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spans="1:22" ht="12.7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spans="1:22" ht="12.7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spans="1:22" ht="12.7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1:22" ht="12.7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1:22" ht="12.7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1:22" ht="12.7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1:22" ht="12.7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1:22" ht="12.7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1:22" ht="12.7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1:22" ht="12.7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1:22" ht="12.7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1:22" ht="12.7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1:22" ht="12.7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1:22" ht="12.7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1:22" ht="12.7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2" ht="12.7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1:22" ht="12.7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2" ht="12.7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1:22" ht="12.7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1:22" ht="12.7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1:22" ht="12.7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1:22" ht="12.7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1:22" ht="12.7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1:22" ht="12.7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1:22" ht="12.7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1:22" ht="12.7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1:22" ht="12.7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1:22" ht="12.7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1:22" ht="12.7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1:22" ht="12.7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1:22" ht="12.7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2" ht="12.7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1:22" ht="12.7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1:22" ht="12.7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1:22" ht="12.7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1:22" ht="12.7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ht="12.7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1:22" ht="12.7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1:22" ht="12.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1:22" ht="12.7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1:22" ht="12.7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1:22" ht="12.7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1:22" ht="12.7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1:22" ht="12.7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1:22" ht="12.7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1:22" ht="12.7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1:22" ht="12.7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1:22" ht="12.7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1:22" ht="12.7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1:22" ht="12.7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1:22" ht="12.7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1:22" ht="12.7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1:22" ht="12.7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1:22" ht="12.7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1:22" ht="12.7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1:22" ht="12.7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1:22" ht="12.7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1:22" ht="12.7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1:22" ht="12.7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1:22" ht="12.7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1:22" ht="12.7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1:22" ht="12.7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1:22" ht="12.7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1:22" ht="12.7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1:22" ht="12.7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1:22" ht="12.7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1:22" ht="12.7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1:22" ht="12.7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1:22" ht="12.7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1:22" ht="12.7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1:22" ht="12.7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1:22" ht="12.7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1:22" ht="12.7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1:22" ht="12.7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1:22" ht="12.7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1:22" ht="12.7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1:22" ht="12.7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1:22" ht="12.7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1:22" ht="12.7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1:22" ht="12.7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1:22" ht="12.7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1:22" ht="12.7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1:22" ht="12.7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1:22" ht="12.7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1:22" ht="12.7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1:22" ht="12.7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1:22" ht="12.7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1:22" ht="12.7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1:22" ht="12.7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1:22" ht="12.7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1:22" ht="12.7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1:22" ht="12.7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1:22" ht="12.7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1:22" ht="12.7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1:22" ht="12.7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1:22" ht="12.7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1:22" ht="12.7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1:22" ht="12.7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1:22" ht="12.7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1:22" ht="12.7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1:22" ht="12.7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1:22" ht="12.7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1:22" ht="12.7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1:22" ht="12.7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1:22" ht="12.7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1:22" ht="12.7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1:22" ht="12.7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1:22" ht="12.7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1:22" ht="12.7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1:22" ht="12.7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1:22" ht="12.7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1:22" ht="12.7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1:22" ht="12.7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1:22" ht="12.7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1:22" ht="12.7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1:22" ht="12.7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1:22" ht="12.7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1:22" ht="12.7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1:22" ht="12.7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1:22" ht="12.7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1:22" ht="12.7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1:22" ht="12.7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1:22" ht="12.7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1:22" ht="12.7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1:22" ht="12.7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1:22" ht="12.7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1:22" ht="12.7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1:22" ht="12.7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1:22" ht="12.7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1:22" ht="12.7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1:22" ht="12.7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1:22" ht="12.7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1:22" ht="12.7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1:22" ht="12.7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1:22" ht="12.7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1:22" ht="12.7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1:22" ht="12.7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1:22" ht="12.7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1:22" ht="12.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1:22" ht="12.7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1:22" ht="12.7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1:22" ht="12.7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1:22" ht="12.7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1:22" ht="12.7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1:22" ht="12.7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1:22" ht="12.7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1:22" ht="12.7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1:22" ht="12.7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1:22" ht="12.7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1:22" ht="12.7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1:22" ht="12.7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1:22" ht="12.7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1:22" ht="12.7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1:22" ht="12.7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1:22" ht="12.7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1:22" ht="12.7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1:22" ht="12.7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1:22" ht="12.7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1:22" ht="12.7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1:22" ht="12.7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1:22" ht="12.7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1:22" ht="12.7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1:22" ht="12.7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1:22" ht="12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1:22" ht="12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1:22" ht="12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1:22" ht="12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1:22" ht="12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1:22" ht="12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1:22" ht="12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1:22" ht="12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1:22" ht="12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1:22" ht="12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1:22" ht="12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1:22" ht="12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1:22" ht="12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1:22" ht="12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1:22" ht="12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1:22" ht="12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1:22" ht="12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1:22" ht="12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1:22" ht="12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1:22" ht="12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1:22" ht="12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1:22" ht="12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1:22" ht="12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1:22" ht="12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1:22" ht="12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1:22" ht="12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1:22" ht="12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1:22" ht="12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1:22" ht="12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1:22" ht="12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1:22" ht="12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1:22" ht="12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1:22" ht="12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1:22" ht="12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1:22" ht="12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1:22" ht="12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1:22" ht="12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1:22" ht="12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1:22" ht="12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1:22" ht="12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1:22" ht="12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1:22" ht="12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1:22" ht="12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1:22" ht="12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1:22" ht="12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1:22" ht="12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1:22" ht="12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1:22" ht="12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1:22" ht="12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1:22" ht="12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1:22" ht="12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1:22" ht="12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1:22" ht="12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1:22" ht="12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1:22" ht="12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1:22" ht="12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1:22" ht="12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1:22" ht="12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1:22" ht="12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1:22" ht="12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1:22" ht="12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1:22" ht="12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1:22" ht="12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1:22" ht="12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1:22" ht="12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1:22" ht="12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1:22" ht="12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1:22" ht="12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1:22" ht="12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1:22" ht="12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1:22" ht="12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1:22" ht="12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1:22" ht="12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1:22" ht="12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1:22" ht="12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1:22" ht="12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1:22" ht="12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1:22" ht="12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1:22" ht="12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1:22" ht="12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1:22" ht="12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1:22" ht="12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1:22" ht="12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1:22" ht="12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1:22" ht="12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1:22" ht="12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1:22" ht="12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1:22" ht="12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1:22" ht="12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1:22" ht="12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1:22" ht="12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1:22" ht="12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1:22" ht="12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1:22" ht="12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1:22" ht="12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1:22" ht="12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1:22" ht="12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1:22" ht="12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1:22" ht="12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1:22" ht="12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1:22" ht="12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1:22" ht="12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1:22" ht="12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1:22" ht="12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1:22" ht="12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1:22" ht="12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1:22" ht="12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1:22" ht="12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1:22" ht="12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1:22" ht="12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1:22" ht="12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1:22" ht="12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1:22" ht="12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1:22" ht="12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1:22" ht="12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1:22" ht="12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1:22" ht="12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1:22" ht="12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1:22" ht="12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1:22" ht="12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1:22" ht="12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1:22" ht="12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1:22" ht="12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1:22" ht="12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1:22" ht="12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1:22" ht="12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1:22" ht="12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1:22" ht="12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1:22" ht="12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1:22" ht="12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1:22" ht="12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1:22" ht="12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1:22" ht="12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1:22" ht="12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1:22" ht="12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1:22" ht="12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1:22" ht="12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1:22" ht="12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1:22" ht="12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1:22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1:22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1:22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1:22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1:22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1:22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1:22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1:22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1:22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1:22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1:22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1:22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1:22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1:22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1:22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1:22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1:22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1:22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1:22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1:22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1:22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1:22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1:22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1:22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1:22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1:22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1:22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1:22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1:22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1:22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1:22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1:22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1:22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1:22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1:22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1:22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1:22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1:22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1:22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1:22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1:22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1:22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1:22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1:22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1:22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1:22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1:22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1:22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1:22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1:22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1:22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1:22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1:22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1:22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1:22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1:22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1:22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1:22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1:22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1:22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1:22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1:22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1:22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1:22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1:22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1:22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1:22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1:22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1:22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1:22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1:22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1:22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1:22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1:22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1:22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1:22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1:22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1:22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1:22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1:22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1:22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1:22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1:22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1:22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1:22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1:22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1:22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1:22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1:22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1:22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1:22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1:22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1:22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1:22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1:22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1:22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1:22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1:22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1:22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1:22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1:22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1:22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1:22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1:22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1:22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1:22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1:22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1:22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1:22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1:22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1:22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1:22" ht="12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1:22" ht="12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1:22" ht="12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1:22" ht="12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1:22" ht="12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1:22" ht="12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1:22" ht="12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1:22" ht="12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1:22" ht="12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1:22" ht="12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1:22" ht="12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1:22" ht="12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1:22" ht="12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1:22" ht="12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1:22" ht="12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1:22" ht="12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1:22" ht="12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1:22" ht="12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1:22" ht="12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1:22" ht="12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1:22" ht="12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1:22" ht="12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1:22" ht="12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1:22" ht="12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1:22" ht="12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1:22" ht="12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1:22" ht="12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1:22" ht="12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1:22" ht="12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1:22" ht="12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1:22" ht="12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1:22" ht="12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1:22" ht="12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1:22" ht="12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1:22" ht="12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1:22" ht="12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1:22" ht="12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1:22" ht="12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1:22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1:22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1:22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1:22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1:22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1:22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1:22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1:22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1:22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1:22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1:22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1:22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1:22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1:22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1:22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1:22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1:22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1:22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1:22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1:22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1:22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1:22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1:22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1:22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1:22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1:22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1:22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1:22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1:22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1:22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1:22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1:22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1:22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1:22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1:22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1:22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1:22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1:22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1:22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1:22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1:22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1:22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1:22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1:22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1:22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1:22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1:22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1:22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1:22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1:22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1:22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1:22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1:22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1:22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1:22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1:22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1:22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1:22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1:22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1:22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1:22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1:22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1:22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1:22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1:22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1:22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1:22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1:22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1:22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1:22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1:22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1:22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1:22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1:22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1:22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1:22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1:22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1:22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1:22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1:22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1:22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1:22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1:22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1:22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1:22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1:22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1:22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1:22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1:22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1:22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1:22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1:22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1:22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1:22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1:22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1:22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1:22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1:22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1:22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1:22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1:22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1:22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1:22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1:22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1:22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1:22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1:22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1:22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1:22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1:22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1:22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1:22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1:22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1:22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1:22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1:22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1:22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1:22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1:22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1:22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1:22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1:22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1:22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1:22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1:22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1:22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1:22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1:22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1:22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1:22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1:22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1:22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1:22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1:22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1:22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1:22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1:22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1:22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1:22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1:22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1:22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1:22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1:22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1:22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1:22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1:22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1:22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1:22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1:22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1:22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1:22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1:22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1:22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1:22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1:22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1:22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1:22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1:22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1:22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1:22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1:22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1:22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1:22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1:22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1:22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1:22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1:22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1:22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1:22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1:22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1:22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1:22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1:22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1:22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1:22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1:22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1:22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1:22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1:22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1:22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1:22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1:22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1:22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1:22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1:22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1:22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1:22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1:22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1:22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1:22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1:22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1:22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1:22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1:22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1:22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1:22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1:22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1:22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1:22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1:22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1:22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1:22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1:22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1:22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1:22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1:22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1:22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1:22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1:22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1:22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1:22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1:22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1:22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1:22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1:22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1:22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1:22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1:22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1:22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1:22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1:22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1:22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1:22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1:22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1:22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1:22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1:22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1:22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1:22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1:22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1:22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1:22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1:22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1:22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1:22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1:22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1:22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1:22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1:22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1:22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1:22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1:22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1:22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1:22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1:22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1:22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1:22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1:22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1:22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1:22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1:22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1:22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1:22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1:22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1:22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1:22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1:22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1:22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1:22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1:22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1:22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1:22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1:22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1:22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1:22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1:22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1:22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1:22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1:22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1:22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1:22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1:22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1:22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1:22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1:22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1:22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1:22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1:22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1:22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1:22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1:22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1:22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1:22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1:22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1:22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1:22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1:22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1:22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1:22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1:22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1:22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1:22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1:22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1:22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1:22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1:22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1:22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1:22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1:22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1:22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1:22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1:22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1:22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1:22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1:22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1:22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1:22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1:22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1:22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1:22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1:22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1:22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1:22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1:22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1:22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1:22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1:22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1:22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1:22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1:22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1:22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1:22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1:22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1:22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1:22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1:22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1:22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1:22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1:22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1:22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1:22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1:22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1:22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1:22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1:22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1:22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1:22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1:22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1:22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1:22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1:22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1:22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1:22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1:22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1:22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1:22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1:22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1:22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1:22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1:22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1:22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1:22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1:22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1:22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1:22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1:22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1:22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1:22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1:22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1:22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1:22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1:22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1:22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1:22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1:22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1:22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1:22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1:22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1:22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1:22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1:22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1:22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1:22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1:22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1:22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1:22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1:22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1:22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1:22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1:22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1:22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1:22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1:22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1:22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1:22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1:22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1:22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1:22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1:22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1:22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1:22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1:22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1:22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1:22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1:22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1:22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1:22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1:22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1:22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1:22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1:22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1:22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1:22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1:22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1:22" ht="12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1:22" ht="12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1:22" ht="12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1:22" ht="12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1:22" ht="12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1:22" ht="12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spans="1:22" ht="12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spans="1:22" ht="12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spans="1:22" ht="12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selection activeCell="J1" sqref="J1:K5"/>
    </sheetView>
  </sheetViews>
  <sheetFormatPr baseColWidth="10" defaultColWidth="12.5703125" defaultRowHeight="15.75" customHeight="1"/>
  <cols>
    <col min="1" max="1" width="7.42578125" customWidth="1"/>
    <col min="2" max="2" width="10" customWidth="1"/>
    <col min="3" max="3" width="12.28515625" customWidth="1"/>
    <col min="4" max="4" width="1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22" t="s">
        <v>12</v>
      </c>
      <c r="K1" s="22">
        <f>CORREL(B2:B85, C2:C85)</f>
        <v>0.64044160167864117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2">
        <v>1</v>
      </c>
      <c r="B2" s="5">
        <v>812.98</v>
      </c>
      <c r="C2" s="2">
        <v>1347.18</v>
      </c>
      <c r="D2" s="5">
        <v>39.65</v>
      </c>
      <c r="E2" s="3"/>
      <c r="F2" s="3"/>
      <c r="G2" s="3"/>
      <c r="H2" s="3"/>
      <c r="I2" s="3"/>
      <c r="J2" s="22" t="s">
        <v>8</v>
      </c>
      <c r="K2" s="22">
        <f>K1^2</f>
        <v>0.4101654451607033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2">
        <v>2</v>
      </c>
      <c r="B3" s="5">
        <v>645.22</v>
      </c>
      <c r="C3" s="2">
        <v>1359.88</v>
      </c>
      <c r="D3" s="5">
        <v>52.55</v>
      </c>
      <c r="E3" s="3"/>
      <c r="F3" s="3"/>
      <c r="G3" s="3"/>
      <c r="H3" s="3"/>
      <c r="I3" s="3"/>
      <c r="J3" s="22" t="s">
        <v>9</v>
      </c>
      <c r="K3" s="22">
        <f>SQRT(SUMPRODUCT((B2:B85-C2:C85)^2)/84)</f>
        <v>528.1805466703147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2">
        <v>3</v>
      </c>
      <c r="B4" s="5">
        <v>684.3</v>
      </c>
      <c r="C4" s="2">
        <v>1228.3499999999999</v>
      </c>
      <c r="D4" s="5">
        <v>44.29</v>
      </c>
      <c r="E4" s="3"/>
      <c r="F4" s="3"/>
      <c r="G4" s="3"/>
      <c r="H4" s="3"/>
      <c r="I4" s="3"/>
      <c r="J4" s="22" t="s">
        <v>10</v>
      </c>
      <c r="K4" s="23">
        <f>AVERAGE(B2:B19)-AVERAGE(C2:C19)</f>
        <v>-612.49666666666667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2">
        <v>4</v>
      </c>
      <c r="B5" s="5">
        <v>561.14</v>
      </c>
      <c r="C5" s="2">
        <v>1135.67</v>
      </c>
      <c r="D5" s="5">
        <v>50.59</v>
      </c>
      <c r="E5" s="3"/>
      <c r="F5" s="3"/>
      <c r="G5" s="3"/>
      <c r="H5" s="3"/>
      <c r="I5" s="3"/>
      <c r="J5" s="22" t="s">
        <v>11</v>
      </c>
      <c r="K5" s="22">
        <f>SUMPRODUCT(ABS(B2:B85-C2:C85))/84</f>
        <v>479.74547619047638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2">
        <v>5</v>
      </c>
      <c r="B6" s="5">
        <v>451.17</v>
      </c>
      <c r="C6" s="2">
        <v>892.84</v>
      </c>
      <c r="D6" s="5">
        <v>49.47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2">
        <v>6</v>
      </c>
      <c r="B7" s="5">
        <v>282.33</v>
      </c>
      <c r="C7" s="2">
        <v>699.34</v>
      </c>
      <c r="D7" s="5">
        <v>59.63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2">
        <v>7</v>
      </c>
      <c r="B8" s="5">
        <v>205.53</v>
      </c>
      <c r="C8" s="2">
        <v>466.04</v>
      </c>
      <c r="D8" s="5">
        <v>55.9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2">
        <v>8</v>
      </c>
      <c r="B9" s="5">
        <v>716.01</v>
      </c>
      <c r="C9" s="2">
        <v>1208.1600000000001</v>
      </c>
      <c r="D9" s="5">
        <v>40.74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2">
        <v>9</v>
      </c>
      <c r="B10" s="5">
        <v>259.81</v>
      </c>
      <c r="C10" s="2">
        <v>1349.91</v>
      </c>
      <c r="D10" s="5">
        <v>80.75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2">
        <v>10</v>
      </c>
      <c r="B11" s="5">
        <v>538.26</v>
      </c>
      <c r="C11" s="2">
        <v>1179.68</v>
      </c>
      <c r="D11" s="5">
        <v>54.37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2">
        <v>11</v>
      </c>
      <c r="B12" s="5">
        <v>203.05</v>
      </c>
      <c r="C12" s="2">
        <v>1098.8599999999999</v>
      </c>
      <c r="D12" s="5">
        <v>81.52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2">
        <v>12</v>
      </c>
      <c r="B13" s="5">
        <v>291.70999999999998</v>
      </c>
      <c r="C13" s="2">
        <v>950.84</v>
      </c>
      <c r="D13" s="5">
        <v>69.319999999999993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2">
        <v>13</v>
      </c>
      <c r="B14" s="5">
        <v>320.52</v>
      </c>
      <c r="C14" s="2">
        <v>685.2</v>
      </c>
      <c r="D14" s="5">
        <v>53.22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2">
        <v>14</v>
      </c>
      <c r="B15" s="5">
        <v>212.92</v>
      </c>
      <c r="C15" s="2">
        <v>445.37</v>
      </c>
      <c r="D15" s="5">
        <v>52.19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2">
        <v>15</v>
      </c>
      <c r="B16" s="5">
        <v>708.98</v>
      </c>
      <c r="C16" s="2">
        <v>1307.48</v>
      </c>
      <c r="D16" s="5">
        <v>45.77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2">
        <v>16</v>
      </c>
      <c r="B17" s="5">
        <v>117.84</v>
      </c>
      <c r="C17" s="2">
        <v>1291.6099999999999</v>
      </c>
      <c r="D17" s="5">
        <v>90.88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2">
        <v>17</v>
      </c>
      <c r="B18" s="5">
        <v>308.20999999999998</v>
      </c>
      <c r="C18" s="2">
        <v>1274.5</v>
      </c>
      <c r="D18" s="5">
        <v>75.819999999999993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2">
        <v>18</v>
      </c>
      <c r="B19" s="5">
        <v>658.29</v>
      </c>
      <c r="C19" s="2">
        <v>1082.3</v>
      </c>
      <c r="D19" s="5">
        <v>39.18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2">
        <v>19</v>
      </c>
      <c r="B20" s="5">
        <v>580.52</v>
      </c>
      <c r="C20" s="2">
        <v>1040.1400000000001</v>
      </c>
      <c r="D20" s="5">
        <v>44.19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2">
        <v>20</v>
      </c>
      <c r="B21" s="5">
        <v>240.56</v>
      </c>
      <c r="C21" s="2">
        <v>702.68</v>
      </c>
      <c r="D21" s="5">
        <v>65.77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2">
        <v>21</v>
      </c>
      <c r="B22" s="5">
        <v>178.7</v>
      </c>
      <c r="C22" s="2">
        <v>452.09</v>
      </c>
      <c r="D22" s="5">
        <v>60.47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2">
        <v>22</v>
      </c>
      <c r="B23" s="5">
        <v>635.13</v>
      </c>
      <c r="C23" s="2">
        <v>1216.17</v>
      </c>
      <c r="D23" s="5">
        <v>47.78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2">
        <v>23</v>
      </c>
      <c r="B24" s="5">
        <v>761.94</v>
      </c>
      <c r="C24" s="2">
        <v>1202.21</v>
      </c>
      <c r="D24" s="5">
        <v>36.619999999999997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2">
        <v>24</v>
      </c>
      <c r="B25" s="5">
        <v>716.84</v>
      </c>
      <c r="C25" s="2">
        <v>1097.56</v>
      </c>
      <c r="D25" s="5">
        <v>34.69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2">
        <v>25</v>
      </c>
      <c r="B26" s="5">
        <v>589.52</v>
      </c>
      <c r="C26" s="2">
        <v>939.43</v>
      </c>
      <c r="D26" s="5">
        <v>37.25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2">
        <v>26</v>
      </c>
      <c r="B27" s="5">
        <v>250.13</v>
      </c>
      <c r="C27" s="2">
        <v>749.26</v>
      </c>
      <c r="D27" s="5">
        <v>66.62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2">
        <v>27</v>
      </c>
      <c r="B28" s="5">
        <v>277.88</v>
      </c>
      <c r="C28" s="2">
        <v>454.11</v>
      </c>
      <c r="D28" s="5">
        <v>38.81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2">
        <v>28</v>
      </c>
      <c r="B29" s="5">
        <v>402.36</v>
      </c>
      <c r="C29" s="2">
        <v>1302.42</v>
      </c>
      <c r="D29" s="5">
        <v>69.11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2">
        <v>29</v>
      </c>
      <c r="B30" s="5">
        <v>544.6</v>
      </c>
      <c r="C30" s="9">
        <v>1264.0999999999999</v>
      </c>
      <c r="D30" s="5">
        <v>56.92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2">
        <v>30</v>
      </c>
      <c r="B31" s="5">
        <v>458.08</v>
      </c>
      <c r="C31" s="10">
        <v>1072.02</v>
      </c>
      <c r="D31" s="5">
        <v>57.27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2">
        <v>31</v>
      </c>
      <c r="B32" s="5">
        <v>487.19</v>
      </c>
      <c r="C32" s="2">
        <v>911.73</v>
      </c>
      <c r="D32" s="5">
        <v>46.56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2">
        <v>32</v>
      </c>
      <c r="B33" s="5">
        <v>293.99</v>
      </c>
      <c r="C33" s="2">
        <v>811.08</v>
      </c>
      <c r="D33" s="5">
        <v>63.75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2">
        <v>33</v>
      </c>
      <c r="B34" s="5">
        <v>169.01</v>
      </c>
      <c r="C34" s="2">
        <v>486.23</v>
      </c>
      <c r="D34" s="5">
        <v>65.239999999999995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2">
        <v>34</v>
      </c>
      <c r="B35" s="5">
        <v>709.85</v>
      </c>
      <c r="C35" s="2">
        <v>1319.28</v>
      </c>
      <c r="D35" s="5">
        <v>46.19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2">
        <v>35</v>
      </c>
      <c r="B36" s="5">
        <v>382.28</v>
      </c>
      <c r="C36" s="2">
        <v>1218.3699999999999</v>
      </c>
      <c r="D36" s="5">
        <v>68.62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2">
        <v>36</v>
      </c>
      <c r="B37" s="5">
        <v>488.47</v>
      </c>
      <c r="C37" s="2">
        <v>1125.3</v>
      </c>
      <c r="D37" s="5">
        <v>56.59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2">
        <v>37</v>
      </c>
      <c r="B38" s="5">
        <v>510.41</v>
      </c>
      <c r="C38" s="2">
        <v>829.75</v>
      </c>
      <c r="D38" s="5">
        <v>38.49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2">
        <v>38</v>
      </c>
      <c r="B39" s="5">
        <v>448.94</v>
      </c>
      <c r="C39" s="2">
        <v>736.89</v>
      </c>
      <c r="D39" s="5">
        <v>39.08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2">
        <v>39</v>
      </c>
      <c r="B40" s="5">
        <v>169.54</v>
      </c>
      <c r="C40" s="2">
        <v>440.09</v>
      </c>
      <c r="D40" s="5">
        <v>61.48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2">
        <v>40</v>
      </c>
      <c r="B41" s="5">
        <v>503.11</v>
      </c>
      <c r="C41" s="2">
        <v>1257.24</v>
      </c>
      <c r="D41" s="5">
        <v>59.98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2">
        <v>41</v>
      </c>
      <c r="B42" s="5">
        <v>183.26</v>
      </c>
      <c r="C42" s="2">
        <v>1173.8399999999999</v>
      </c>
      <c r="D42" s="5">
        <v>84.39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2">
        <v>42</v>
      </c>
      <c r="B43" s="5">
        <v>257.33999999999997</v>
      </c>
      <c r="C43" s="2">
        <v>1019.52</v>
      </c>
      <c r="D43" s="5">
        <v>74.760000000000005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2">
        <v>43</v>
      </c>
      <c r="B44" s="5">
        <v>116.91</v>
      </c>
      <c r="C44" s="2">
        <v>617.23</v>
      </c>
      <c r="D44" s="5">
        <v>81.06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2">
        <v>44</v>
      </c>
      <c r="B45" s="5">
        <v>276.52999999999997</v>
      </c>
      <c r="C45" s="2">
        <v>498.97</v>
      </c>
      <c r="D45" s="5">
        <v>44.58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2">
        <v>45</v>
      </c>
      <c r="B46" s="5">
        <v>505.44</v>
      </c>
      <c r="C46" s="2">
        <v>1187.18</v>
      </c>
      <c r="D46" s="5">
        <v>57.43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2">
        <v>46</v>
      </c>
      <c r="B47" s="5">
        <v>353.63</v>
      </c>
      <c r="C47" s="2">
        <v>1110.53</v>
      </c>
      <c r="D47" s="5">
        <v>68.16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2">
        <v>47</v>
      </c>
      <c r="B48" s="5">
        <v>430.12</v>
      </c>
      <c r="C48" s="2">
        <v>979.47</v>
      </c>
      <c r="D48" s="5">
        <v>56.09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2">
        <v>48</v>
      </c>
      <c r="B49" s="5">
        <v>341.05</v>
      </c>
      <c r="C49" s="2">
        <v>678.66</v>
      </c>
      <c r="D49" s="5">
        <v>49.75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2">
        <v>49</v>
      </c>
      <c r="B50" s="5">
        <v>153.62</v>
      </c>
      <c r="C50" s="2">
        <v>396.11</v>
      </c>
      <c r="D50" s="5">
        <v>61.22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2">
        <v>50</v>
      </c>
      <c r="B51" s="5">
        <v>679.56</v>
      </c>
      <c r="C51" s="2">
        <v>1190.6500000000001</v>
      </c>
      <c r="D51" s="5">
        <v>42.93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2">
        <v>51</v>
      </c>
      <c r="B52" s="5">
        <v>384.18</v>
      </c>
      <c r="C52" s="2">
        <v>1116.8699999999999</v>
      </c>
      <c r="D52" s="5">
        <v>65.599999999999994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2">
        <v>52</v>
      </c>
      <c r="B53" s="5">
        <v>491.38</v>
      </c>
      <c r="C53" s="2">
        <v>1024.44</v>
      </c>
      <c r="D53" s="5">
        <v>52.03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2">
        <v>53</v>
      </c>
      <c r="B54" s="5">
        <v>496.78</v>
      </c>
      <c r="C54" s="2">
        <v>863.65</v>
      </c>
      <c r="D54" s="5">
        <v>42.48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2">
        <v>54</v>
      </c>
      <c r="B55" s="5">
        <v>288.49</v>
      </c>
      <c r="C55" s="2">
        <v>502.55</v>
      </c>
      <c r="D55" s="5">
        <v>42.59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2">
        <v>55</v>
      </c>
      <c r="B56" s="5">
        <v>602.16999999999996</v>
      </c>
      <c r="C56" s="2">
        <v>1082.28</v>
      </c>
      <c r="D56" s="5">
        <v>44.36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2">
        <v>56</v>
      </c>
      <c r="B57" s="5">
        <v>479.18</v>
      </c>
      <c r="C57" s="2">
        <v>818.01</v>
      </c>
      <c r="D57" s="5">
        <v>41.42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2">
        <v>57</v>
      </c>
      <c r="B58" s="5">
        <v>797.15</v>
      </c>
      <c r="C58" s="2">
        <v>855.84</v>
      </c>
      <c r="D58" s="5">
        <v>6.86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2">
        <v>58</v>
      </c>
      <c r="B59" s="5">
        <v>278.88</v>
      </c>
      <c r="C59" s="2">
        <v>450.12</v>
      </c>
      <c r="D59" s="5">
        <v>38.04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2">
        <v>59</v>
      </c>
      <c r="B60" s="5">
        <v>630.17999999999995</v>
      </c>
      <c r="C60" s="2">
        <v>1048.2</v>
      </c>
      <c r="D60" s="5">
        <v>39.880000000000003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2">
        <v>60</v>
      </c>
      <c r="B61" s="5">
        <v>280.45999999999998</v>
      </c>
      <c r="C61" s="2">
        <v>960.11</v>
      </c>
      <c r="D61" s="5">
        <v>70.790000000000006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2">
        <v>61</v>
      </c>
      <c r="B62" s="5">
        <v>217.42</v>
      </c>
      <c r="C62" s="2">
        <v>679.73</v>
      </c>
      <c r="D62" s="5">
        <v>68.010000000000005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2">
        <v>62</v>
      </c>
      <c r="B63" s="5">
        <v>296.57</v>
      </c>
      <c r="C63" s="2">
        <v>693</v>
      </c>
      <c r="D63" s="5">
        <v>57.2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2">
        <v>63</v>
      </c>
      <c r="B64" s="5">
        <v>445.22</v>
      </c>
      <c r="C64" s="2">
        <v>1055.5</v>
      </c>
      <c r="D64" s="5">
        <v>57.82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2">
        <v>64</v>
      </c>
      <c r="B65" s="5">
        <v>532.12</v>
      </c>
      <c r="C65" s="9">
        <v>1026.0999999999999</v>
      </c>
      <c r="D65" s="5">
        <v>48.14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2">
        <v>65</v>
      </c>
      <c r="B66" s="5">
        <v>416.47</v>
      </c>
      <c r="C66" s="2">
        <v>640.59</v>
      </c>
      <c r="D66" s="5">
        <v>34.99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2">
        <v>66</v>
      </c>
      <c r="B67" s="5">
        <v>199.86</v>
      </c>
      <c r="C67" s="2">
        <v>473.37</v>
      </c>
      <c r="D67" s="5">
        <v>57.78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2">
        <v>67</v>
      </c>
      <c r="B68" s="5">
        <v>705.56</v>
      </c>
      <c r="C68" s="2">
        <v>1096.94</v>
      </c>
      <c r="D68" s="5">
        <v>35.68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2">
        <v>68</v>
      </c>
      <c r="B69" s="5">
        <v>241.78</v>
      </c>
      <c r="C69" s="2">
        <v>834.79</v>
      </c>
      <c r="D69" s="5">
        <v>71.040000000000006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2">
        <v>69</v>
      </c>
      <c r="B70" s="5">
        <v>271.82</v>
      </c>
      <c r="C70" s="2">
        <v>627.61</v>
      </c>
      <c r="D70" s="5">
        <v>56.69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2">
        <v>70</v>
      </c>
      <c r="B71" s="5">
        <v>570.63</v>
      </c>
      <c r="C71" s="2">
        <v>867.68</v>
      </c>
      <c r="D71" s="5">
        <v>34.229999999999997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2">
        <v>71</v>
      </c>
      <c r="B72" s="5">
        <v>322.89999999999998</v>
      </c>
      <c r="C72" s="2">
        <v>990.61</v>
      </c>
      <c r="D72" s="5">
        <v>67.400000000000006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2">
        <v>72</v>
      </c>
      <c r="B73" s="5">
        <v>118.43</v>
      </c>
      <c r="C73" s="2">
        <v>376.4</v>
      </c>
      <c r="D73" s="5">
        <v>68.540000000000006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2">
        <v>73</v>
      </c>
      <c r="B74" s="5">
        <v>412.14</v>
      </c>
      <c r="C74" s="2">
        <v>874.43</v>
      </c>
      <c r="D74" s="5">
        <v>52.87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2">
        <v>74</v>
      </c>
      <c r="B75" s="5">
        <v>379.88</v>
      </c>
      <c r="C75" s="2">
        <v>835.04</v>
      </c>
      <c r="D75" s="5">
        <v>54.51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2">
        <v>75</v>
      </c>
      <c r="B76" s="5">
        <v>277.7</v>
      </c>
      <c r="C76" s="2">
        <v>654.22</v>
      </c>
      <c r="D76" s="5">
        <v>57.55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2">
        <v>76</v>
      </c>
      <c r="B77" s="5">
        <v>388.05</v>
      </c>
      <c r="C77" s="2">
        <v>679.44</v>
      </c>
      <c r="D77" s="5">
        <v>42.89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2">
        <v>77</v>
      </c>
      <c r="B78" s="5">
        <v>221.83</v>
      </c>
      <c r="C78" s="2">
        <v>461.67</v>
      </c>
      <c r="D78" s="5">
        <v>51.95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2">
        <v>78</v>
      </c>
      <c r="B79" s="5">
        <v>407.26</v>
      </c>
      <c r="C79" s="2">
        <v>705.15</v>
      </c>
      <c r="D79" s="5">
        <v>42.24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2">
        <v>79</v>
      </c>
      <c r="B80" s="5">
        <v>215.55</v>
      </c>
      <c r="C80" s="2">
        <v>531.95000000000005</v>
      </c>
      <c r="D80" s="5">
        <v>59.48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2">
        <v>80</v>
      </c>
      <c r="B81" s="5">
        <v>486.51</v>
      </c>
      <c r="C81" s="2">
        <v>899.08</v>
      </c>
      <c r="D81" s="5">
        <v>45.89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2">
        <v>81</v>
      </c>
      <c r="B82" s="5">
        <v>219.49</v>
      </c>
      <c r="C82" s="2">
        <v>519.16</v>
      </c>
      <c r="D82" s="5">
        <v>57.72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2">
        <v>82</v>
      </c>
      <c r="B83" s="5">
        <v>340.47</v>
      </c>
      <c r="C83" s="2">
        <v>557.16999999999996</v>
      </c>
      <c r="D83" s="5">
        <v>38.89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2">
        <v>83</v>
      </c>
      <c r="B84" s="5">
        <v>395.13</v>
      </c>
      <c r="C84" s="2">
        <v>669.09</v>
      </c>
      <c r="D84" s="5">
        <v>40.94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2">
        <v>84</v>
      </c>
      <c r="B85" s="5">
        <v>261.54000000000002</v>
      </c>
      <c r="C85" s="2">
        <v>492.27</v>
      </c>
      <c r="D85" s="5">
        <v>46.87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22 de Mayo Ins. Geofísica</vt:lpstr>
      <vt:lpstr>9 de Junio EANCIF</vt:lpstr>
      <vt:lpstr>25 de Junio Campo Experimental.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2026-07-31T21:00:56Z</dcterms:modified>
</cp:coreProperties>
</file>